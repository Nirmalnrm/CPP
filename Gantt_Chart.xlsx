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45d008fc0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Chart" sheetId="1" r:id="Rae1a27248cc74b6b"/>
    <x:sheet xmlns:r="http://schemas.openxmlformats.org/officeDocument/2006/relationships" name="Milestones &amp; Guide" sheetId="2" r:id="R367179481af04a9d"/>
    <x:sheet xmlns:r="http://schemas.openxmlformats.org/officeDocument/2006/relationships" name="Competition Research" sheetId="3" r:id="R8bdd5a68d5f849a8"/>
    <x:sheet xmlns:r="http://schemas.openxmlformats.org/officeDocument/2006/relationships" name="Software Path" sheetId="4" r:id="R1ec28d820f3f4798"/>
    <x:sheet xmlns:r="http://schemas.openxmlformats.org/officeDocument/2006/relationships" name="Research Path" sheetId="5" r:id="R57c7b365a34849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"/>
    <x:numFmt numFmtId="201" formatCode="dd mmm yyyy"/>
    <x:numFmt numFmtId="202" formatCode="0&quot; h&quot;"/>
  </x:numFmts>
  <x:fonts count="27">
    <x:font>
      <x:sz val="11"/>
      <x:name val="Carlito"/>
    </x:font>
    <x:font>
      <x:b/>
      <x:sz val="17"/>
      <x:color rgb="FFFFFFFF"/>
      <x:name val="Carlito"/>
    </x:font>
    <x:font>
      <x:sz val="10"/>
      <x:color rgb="FFD7E5F4"/>
      <x:name val="Carlito"/>
    </x:font>
    <x:font>
      <x:b/>
      <x:sz val="9"/>
      <x:color rgb="FF192F4E"/>
      <x:name val="Carlito"/>
    </x:font>
    <x:font>
      <x:b/>
      <x:sz val="20"/>
      <x:color rgb="FF10243D"/>
      <x:name val="Carlito"/>
    </x:font>
    <x:font>
      <x:b/>
      <x:sz val="9"/>
      <x:color rgb="FFFFFFFF"/>
      <x:name val="Carlito"/>
    </x:font>
    <x:font>
      <x:sz val="9"/>
      <x:color rgb="FF192F4E"/>
      <x:name val="Carlito"/>
    </x:font>
    <x:font>
      <x:b/>
      <x:sz val="10"/>
      <x:color rgb="FFFFFFFF"/>
      <x:name val="Carlito"/>
    </x:font>
    <x:font>
      <x:b/>
      <x:sz val="9"/>
      <x:color rgb="FF10243D"/>
      <x:name val="Carlito"/>
    </x:font>
    <x:font>
      <x:sz val="10"/>
      <x:color rgb="FF243449"/>
      <x:name val="Carlito"/>
    </x:font>
    <x:font>
      <x:b/>
      <x:sz val="9"/>
      <x:color rgb="FF3E6995"/>
      <x:name val="Carlito"/>
    </x:font>
    <x:font>
      <x:b/>
      <x:sz val="10"/>
      <x:color rgb="FF243449"/>
      <x:name val="Carlito"/>
    </x:font>
    <x:font>
      <x:b/>
      <x:sz val="10"/>
      <x:color rgb="FF10243D"/>
      <x:name val="Carlito"/>
    </x:font>
    <x:font>
      <x:sz val="9"/>
      <x:color rgb="FF63748B"/>
      <x:name val="Carlito"/>
    </x:font>
    <x:font>
      <x:b/>
      <x:sz val="9"/>
      <x:color rgb="FF7A6097"/>
      <x:name val="Carlito"/>
    </x:font>
    <x:font>
      <x:b/>
      <x:sz val="9"/>
      <x:color rgb="FF468985"/>
      <x:name val="Carlito"/>
    </x:font>
    <x:font>
      <x:sz val="9"/>
      <x:color rgb="FFD6E9F4"/>
      <x:name val="Carlito"/>
    </x:font>
    <x:font>
      <x:b/>
      <x:sz val="11"/>
      <x:color rgb="FFFFFFFF"/>
      <x:name val="Carlito"/>
    </x:font>
    <x:font>
      <x:sz val="10"/>
      <x:color rgb="FF192F4E"/>
      <x:name val="Carlito"/>
    </x:font>
    <x:font>
      <x:i/>
      <x:sz val="9"/>
      <x:color rgb="FF63748B"/>
      <x:name val="Carlito"/>
    </x:font>
    <x:font>
      <x:sz val="10"/>
      <x:color rgb="FF10243D"/>
      <x:name val="Carlito"/>
    </x:font>
    <x:font>
      <x:b/>
      <x:sz val="16"/>
      <x:color rgb="FFFFFFFF"/>
      <x:name val="Carlito"/>
    </x:font>
    <x:font>
      <x:sz val="10"/>
      <x:color rgb="FFE1EBF7"/>
      <x:name val="Carlito"/>
    </x:font>
    <x:font>
      <x:b/>
      <x:sz val="11"/>
      <x:color rgb="FF10243D"/>
      <x:name val="Carlito"/>
    </x:font>
    <x:font>
      <x:b/>
      <x:sz val="11"/>
      <x:color rgb="FF136959"/>
      <x:name val="Carlito"/>
    </x:font>
    <x:font>
      <x:b/>
      <x:sz val="18"/>
      <x:color rgb="FFFFFFFF"/>
      <x:name val="Carlito"/>
    </x:font>
    <x:font>
      <x:sz val="10"/>
      <x:color rgb="FF355469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0243D"/>
      </x:patternFill>
    </x:fill>
    <x:fill>
      <x:patternFill patternType="solid">
        <x:fgColor rgb="FF192F4E"/>
      </x:patternFill>
    </x:fill>
    <x:fill>
      <x:patternFill patternType="solid">
        <x:fgColor rgb="FFE8EFF7"/>
      </x:patternFill>
    </x:fill>
    <x:fill>
      <x:patternFill patternType="solid">
        <x:fgColor rgb="FFF9FBFD"/>
      </x:patternFill>
    </x:fill>
    <x:fill>
      <x:patternFill patternType="solid">
        <x:fgColor rgb="FF3E6995"/>
      </x:patternFill>
    </x:fill>
    <x:fill>
      <x:patternFill patternType="solid">
        <x:fgColor rgb="FF7A6097"/>
      </x:patternFill>
    </x:fill>
    <x:fill>
      <x:patternFill patternType="solid">
        <x:fgColor rgb="FF468985"/>
      </x:patternFill>
    </x:fill>
    <x:fill>
      <x:patternFill patternType="solid">
        <x:fgColor rgb="FFDCE7F2"/>
      </x:patternFill>
    </x:fill>
    <x:fill>
      <x:patternFill patternType="solid">
        <x:fgColor rgb="FFFFFFFF"/>
      </x:patternFill>
    </x:fill>
    <x:fill>
      <x:patternFill patternType="solid">
        <x:fgColor rgb="FFEAF2FA"/>
      </x:patternFill>
    </x:fill>
    <x:fill>
      <x:patternFill patternType="solid">
        <x:fgColor rgb="FFF4F7FB"/>
      </x:patternFill>
    </x:fill>
    <x:fill>
      <x:patternFill patternType="solid">
        <x:fgColor rgb="FFF3EFF8"/>
      </x:patternFill>
    </x:fill>
    <x:fill>
      <x:patternFill patternType="solid">
        <x:fgColor rgb="FFEAF5F3"/>
      </x:patternFill>
    </x:fill>
    <x:fill>
      <x:patternFill patternType="solid">
        <x:fgColor rgb="FFEAF1F8"/>
      </x:patternFill>
    </x:fill>
    <x:fill>
      <x:patternFill patternType="solid">
        <x:fgColor rgb="FFEEF2F6"/>
      </x:patternFill>
    </x:fill>
    <x:fill>
      <x:patternFill patternType="solid">
        <x:fgColor rgb="FF152C48"/>
      </x:patternFill>
    </x:fill>
    <x:fill>
      <x:patternFill patternType="solid">
        <x:fgColor rgb="FFE6F4F1"/>
      </x:patternFill>
    </x:fill>
    <x:fill>
      <x:patternFill patternType="solid">
        <x:fgColor rgb="FF23557E"/>
      </x:patternFill>
    </x:fill>
    <x:fill>
      <x:patternFill patternType="solid">
        <x:fgColor rgb="FF14283E"/>
      </x:patternFill>
    </x:fill>
    <x:fill>
      <x:patternFill patternType="solid">
        <x:fgColor rgb="FFE9F1F5"/>
      </x:patternFill>
    </x:fill>
    <x:fill>
      <x:patternFill patternType="solid">
        <x:fgColor rgb="FF146D7A"/>
      </x:patternFill>
    </x:fill>
    <x:fill>
      <x:patternFill patternType="solid">
        <x:fgColor rgb="FFEFF5F7"/>
      </x:patternFill>
    </x:fill>
  </x:fills>
  <x:borders count="2">
    <x:border/>
    <x:border/>
  </x:borders>
  <x:cellStyleXfs count="1">
    <x:xf numFmtId="0" fontId="0" fillId="0" borderId="0"/>
  </x:cellStyleXfs>
  <x:cellXfs count="2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8" fillId="9" borderId="0" xfId="0" applyNumberFormat="1" applyFont="1" applyFill="1" applyBorder="1"/>
    <x:xf numFmtId="20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20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200" fontId="8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200" fontId="0" fillId="9" borderId="1" xfId="0" applyNumberFormat="1" applyFont="1" applyFill="1" applyBorder="1"/>
    <x:xf numFmtId="0" fontId="8" fillId="9" borderId="1" xfId="0" applyNumberFormat="1" applyFont="1" applyFill="1" applyBorder="1"/>
    <x:xf numFmtId="20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horizontal="center"/>
    </x:xf>
    <x:xf numFmtId="200" fontId="8" fillId="9" borderId="1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 vertical="center"/>
    </x:xf>
    <x:xf numFmtId="200" fontId="8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vertical="center"/>
    </x:xf>
    <x:xf numFmtId="0" fontId="9" fillId="11" borderId="1" xfId="0" applyNumberFormat="1" applyFont="1" applyFill="1" applyBorder="1" applyAlignment="1">
      <x:alignment vertical="center"/>
    </x:xf>
    <x:xf numFmtId="0" fontId="10" fillId="11" borderId="1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1" fillId="10" borderId="1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horizontal="center" vertical="center"/>
    </x:xf>
    <x:xf numFmtId="0" fontId="12" fillId="10" borderId="1" xfId="0" applyNumberFormat="1" applyFont="1" applyFill="1" applyBorder="1" applyAlignment="1">
      <x:alignment vertical="center"/>
    </x:xf>
    <x:xf numFmtId="0" fontId="12" fillId="10" borderId="1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9" fillId="10" borderId="1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vertical="center"/>
    </x:xf>
    <x:xf numFmtId="0" fontId="13" fillId="10" borderId="0" xfId="0" applyNumberFormat="1" applyFont="1" applyFill="1" applyBorder="1" applyAlignment="1">
      <x:alignment horizontal="center" vertical="center"/>
    </x:xf>
    <x:xf numFmtId="0" fontId="13" fillId="10" borderId="1" xfId="0" applyNumberFormat="1" applyFont="1" applyFill="1" applyBorder="1" applyAlignment="1">
      <x:alignment vertical="center"/>
    </x:xf>
    <x:xf numFmtId="0" fontId="13" fillId="10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vertical="center"/>
    </x:xf>
    <x:xf numFmtId="0" fontId="0" fillId="12" borderId="1" xfId="0" applyNumberFormat="1" applyFont="1" applyFill="1" applyBorder="1"/>
    <x:xf numFmtId="0" fontId="9" fillId="12" borderId="1" xfId="0" applyNumberFormat="1" applyFont="1" applyFill="1" applyBorder="1"/>
    <x:xf numFmtId="0" fontId="9" fillId="12" borderId="1" xfId="0" applyNumberFormat="1" applyFont="1" applyFill="1" applyBorder="1" applyAlignment="1">
      <x:alignment vertical="center"/>
    </x:xf>
    <x:xf numFmtId="0" fontId="11" fillId="12" borderId="0" xfId="0" applyNumberFormat="1" applyFont="1" applyFill="1" applyBorder="1" applyAlignment="1">
      <x:alignment vertical="center"/>
    </x:xf>
    <x:xf numFmtId="0" fontId="11" fillId="12" borderId="1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12" fillId="12" borderId="1" xfId="0" applyNumberFormat="1" applyFont="1" applyFill="1" applyBorder="1" applyAlignment="1">
      <x:alignment vertical="center"/>
    </x:xf>
    <x:xf numFmtId="0" fontId="12" fillId="12" borderId="1" xfId="0" applyNumberFormat="1" applyFont="1" applyFill="1" applyBorder="1" applyAlignment="1">
      <x:alignment horizontal="center" vertic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9" fillId="12" borderId="1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 applyAlignment="1">
      <x:alignment vertical="center"/>
    </x:xf>
    <x:xf numFmtId="0" fontId="13" fillId="12" borderId="0" xfId="0" applyNumberFormat="1" applyFont="1" applyFill="1" applyBorder="1" applyAlignment="1">
      <x:alignment horizontal="center" vertical="center"/>
    </x:xf>
    <x:xf numFmtId="0" fontId="13" fillId="12" borderId="1" xfId="0" applyNumberFormat="1" applyFont="1" applyFill="1" applyBorder="1" applyAlignment="1">
      <x:alignment vertical="center"/>
    </x:xf>
    <x:xf numFmtId="0" fontId="13" fillId="12" borderId="1" xfId="0" applyNumberFormat="1" applyFont="1" applyFill="1" applyBorder="1" applyAlignment="1">
      <x:alignment horizontal="center" vertical="center"/>
    </x:xf>
    <x:xf numFmtId="0" fontId="9" fillId="13" borderId="0" xfId="0" applyNumberFormat="1" applyFont="1" applyFill="1" applyBorder="1" applyAlignment="1">
      <x:alignment vertical="center"/>
    </x:xf>
    <x:xf numFmtId="0" fontId="14" fillId="13" borderId="0" xfId="0" applyNumberFormat="1" applyFont="1" applyFill="1" applyBorder="1" applyAlignment="1">
      <x:alignment vertical="center"/>
    </x:xf>
    <x:xf numFmtId="0" fontId="9" fillId="13" borderId="1" xfId="0" applyNumberFormat="1" applyFont="1" applyFill="1" applyBorder="1" applyAlignment="1">
      <x:alignment vertical="center"/>
    </x:xf>
    <x:xf numFmtId="0" fontId="14" fillId="13" borderId="1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vertical="center"/>
    </x:xf>
    <x:xf numFmtId="0" fontId="15" fillId="14" borderId="0" xfId="0" applyNumberFormat="1" applyFont="1" applyFill="1" applyBorder="1" applyAlignment="1">
      <x:alignment vertical="center"/>
    </x:xf>
    <x:xf numFmtId="0" fontId="9" fillId="14" borderId="1" xfId="0" applyNumberFormat="1" applyFont="1" applyFill="1" applyBorder="1" applyAlignment="1">
      <x:alignment vertical="center"/>
    </x:xf>
    <x:xf numFmtId="0" fontId="15" fillId="14" borderId="1" xfId="0" applyNumberFormat="1" applyFont="1" applyFill="1" applyBorder="1" applyAlignment="1">
      <x:alignment vertical="center"/>
    </x:xf>
    <x:xf numFmtId="201" fontId="9" fillId="10" borderId="0" xfId="0" applyNumberFormat="1" applyFont="1" applyFill="1" applyBorder="1" applyAlignment="1">
      <x:alignment vertical="center"/>
    </x:xf>
    <x:xf numFmtId="201" fontId="9" fillId="12" borderId="0" xfId="0" applyNumberFormat="1" applyFont="1" applyFill="1" applyBorder="1" applyAlignment="1">
      <x:alignment vertical="center"/>
    </x:xf>
    <x:xf numFmtId="201" fontId="9" fillId="10" borderId="1" xfId="0" applyNumberFormat="1" applyFont="1" applyFill="1" applyBorder="1" applyAlignment="1">
      <x:alignment vertical="center"/>
    </x:xf>
    <x:xf numFmtId="201" fontId="9" fillId="12" borderId="1" xfId="0" applyNumberFormat="1" applyFont="1" applyFill="1" applyBorder="1" applyAlignment="1">
      <x:alignment vertical="center"/>
    </x:xf>
    <x:xf numFmtId="202" fontId="12" fillId="10" borderId="0" xfId="0" applyNumberFormat="1" applyFont="1" applyFill="1" applyBorder="1" applyAlignment="1">
      <x:alignment horizontal="center" vertical="center"/>
    </x:xf>
    <x:xf numFmtId="202" fontId="12" fillId="12" borderId="0" xfId="0" applyNumberFormat="1" applyFont="1" applyFill="1" applyBorder="1" applyAlignment="1">
      <x:alignment horizontal="center" vertical="center"/>
    </x:xf>
    <x:xf numFmtId="202" fontId="12" fillId="10" borderId="1" xfId="0" applyNumberFormat="1" applyFont="1" applyFill="1" applyBorder="1" applyAlignment="1">
      <x:alignment horizontal="center" vertical="center"/>
    </x:xf>
    <x:xf numFmtId="202" fontId="12" fillId="12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 applyAlignment="1">
      <x:alignment horizontal="center"/>
    </x:xf>
    <x:xf numFmtId="202" fontId="7" fillId="3" borderId="0" xfId="0" applyNumberFormat="1" applyFont="1" applyFill="1" applyBorder="1"/>
    <x:xf numFmtId="202" fontId="7" fillId="3" borderId="1" xfId="0" applyNumberFormat="1" applyFont="1" applyFill="1" applyBorder="1"/>
    <x:xf numFmtId="0" fontId="16" fillId="3" borderId="0" xfId="0" applyNumberFormat="1" applyFont="1" applyFill="1" applyBorder="1"/>
    <x:xf numFmtId="0" fontId="16" fillId="3" borderId="0" xfId="0" applyNumberFormat="1" applyFont="1" applyFill="1" applyBorder="1" applyAlignment="1">
      <x:alignment vertical="center"/>
    </x:xf>
    <x:xf numFmtId="0" fontId="16" fillId="3" borderId="1" xfId="0" applyNumberFormat="1" applyFont="1" applyFill="1" applyBorder="1"/>
    <x:xf numFmtId="0" fontId="16" fillId="3" borderId="1" xfId="0" applyNumberFormat="1" applyFont="1" applyFill="1" applyBorder="1" applyAlignment="1">
      <x:alignment vertical="center"/>
    </x:xf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vertical="center"/>
    </x:xf>
    <x:xf numFmtId="0" fontId="17" fillId="2" borderId="1" xfId="0" applyNumberFormat="1" applyFont="1" applyFill="1" applyBorder="1"/>
    <x:xf numFmtId="0" fontId="17" fillId="2" borderId="1" xfId="0" applyNumberFormat="1" applyFont="1" applyFill="1" applyBorder="1" applyAlignment="1">
      <x:alignment vertical="center"/>
    </x:xf>
    <x:xf numFmtId="0" fontId="18" fillId="12" borderId="0" xfId="0" applyNumberFormat="1" applyFont="1" applyFill="1" applyBorder="1"/>
    <x:xf numFmtId="0" fontId="18" fillId="12" borderId="0" xfId="0" applyNumberFormat="1" applyFont="1" applyFill="1" applyBorder="1" applyAlignment="1">
      <x:alignment vertical="center"/>
    </x:xf>
    <x:xf numFmtId="0" fontId="18" fillId="12" borderId="1" xfId="0" applyNumberFormat="1" applyFont="1" applyFill="1" applyBorder="1"/>
    <x:xf numFmtId="0" fontId="18" fillId="12" borderId="1" xfId="0" applyNumberFormat="1" applyFont="1" applyFill="1" applyBorder="1" applyAlignment="1">
      <x:alignment vertical="center"/>
    </x:xf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vertical="center"/>
    </x:xf>
    <x:xf numFmtId="0" fontId="19" fillId="12" borderId="1" xfId="0" applyNumberFormat="1" applyFont="1" applyFill="1" applyBorder="1"/>
    <x:xf numFmtId="0" fontId="19" fillId="12" borderId="1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vertical="center"/>
    </x:xf>
    <x:xf numFmtId="0" fontId="18" fillId="10" borderId="1" xfId="0" applyNumberFormat="1" applyFont="1" applyFill="1" applyBorder="1"/>
    <x:xf numFmtId="0" fontId="18" fillId="10" borderId="1" xfId="0" applyNumberFormat="1" applyFont="1" applyFill="1" applyBorder="1" applyAlignment="1">
      <x:alignment vertical="center"/>
    </x:xf>
    <x:xf numFmtId="0" fontId="19" fillId="10" borderId="0" xfId="0" applyNumberFormat="1" applyFont="1" applyFill="1" applyBorder="1"/>
    <x:xf numFmtId="0" fontId="19" fillId="10" borderId="0" xfId="0" applyNumberFormat="1" applyFont="1" applyFill="1" applyBorder="1" applyAlignment="1">
      <x:alignment vertical="center"/>
    </x:xf>
    <x:xf numFmtId="0" fontId="19" fillId="10" borderId="1" xfId="0" applyNumberFormat="1" applyFont="1" applyFill="1" applyBorder="1"/>
    <x:xf numFmtId="0" fontId="19" fillId="10" borderId="1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20" fillId="15" borderId="0" xfId="0" applyNumberFormat="1" applyFont="1" applyFill="1" applyBorder="1"/>
    <x:xf numFmtId="0" fontId="20" fillId="15" borderId="0" xfId="0" applyNumberFormat="1" applyFont="1" applyFill="1" applyBorder="1" applyAlignment="1">
      <x:alignment vertical="center"/>
    </x:xf>
    <x:xf numFmtId="0" fontId="0" fillId="15" borderId="1" xfId="0" applyNumberFormat="1" applyFont="1" applyFill="1" applyBorder="1"/>
    <x:xf numFmtId="0" fontId="20" fillId="15" borderId="1" xfId="0" applyNumberFormat="1" applyFont="1" applyFill="1" applyBorder="1"/>
    <x:xf numFmtId="0" fontId="20" fillId="15" borderId="1" xfId="0" applyNumberFormat="1" applyFont="1" applyFill="1" applyBorder="1" applyAlignment="1">
      <x:alignment vertical="center"/>
    </x:xf>
    <x:xf numFmtId="0" fontId="13" fillId="12" borderId="0" xfId="0" applyNumberFormat="1" applyFont="1" applyFill="1" applyBorder="1"/>
    <x:xf numFmtId="0" fontId="13" fillId="12" borderId="1" xfId="0" applyNumberFormat="1" applyFont="1" applyFill="1" applyBorder="1"/>
    <x:xf numFmtId="0" fontId="21" fillId="2" borderId="0" xfId="0" applyNumberFormat="1" applyFont="1" applyFill="1" applyBorder="1"/>
    <x:xf numFmtId="0" fontId="21" fillId="2" borderId="0" xfId="0" applyNumberFormat="1" applyFont="1" applyFill="1" applyBorder="1" applyAlignment="1">
      <x:alignment vertical="center"/>
    </x:xf>
    <x:xf numFmtId="0" fontId="21" fillId="2" borderId="1" xfId="0" applyNumberFormat="1" applyFont="1" applyFill="1" applyBorder="1"/>
    <x:xf numFmtId="0" fontId="21" fillId="2" borderId="1" xfId="0" applyNumberFormat="1" applyFont="1" applyFill="1" applyBorder="1" applyAlignment="1">
      <x:alignment vertical="center"/>
    </x:xf>
    <x:xf numFmtId="0" fontId="22" fillId="3" borderId="0" xfId="0" applyNumberFormat="1" applyFont="1" applyFill="1" applyBorder="1"/>
    <x:xf numFmtId="0" fontId="22" fillId="3" borderId="1" xfId="0" applyNumberFormat="1" applyFont="1" applyFill="1" applyBorder="1"/>
    <x:xf numFmtId="0" fontId="17" fillId="6" borderId="0" xfId="0" applyNumberFormat="1" applyFont="1" applyFill="1" applyBorder="1"/>
    <x:xf numFmtId="0" fontId="17" fillId="6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17" fillId="3" borderId="0" xfId="0" applyNumberFormat="1" applyFont="1" applyFill="1" applyBorder="1"/>
    <x:xf numFmtId="0" fontId="17" fillId="3" borderId="1" xfId="0" applyNumberFormat="1" applyFont="1" applyFill="1" applyBorder="1"/>
    <x:xf numFmtId="0" fontId="23" fillId="9" borderId="0" xfId="0" applyNumberFormat="1" applyFont="1" applyFill="1" applyBorder="1"/>
    <x:xf numFmtId="0" fontId="23" fillId="9" borderId="1" xfId="0" applyNumberFormat="1" applyFont="1" applyFill="1" applyBorder="1"/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0" fillId="0" borderId="0" xfId="0" applyNumberFormat="1" applyFont="1" applyFill="1" applyBorder="1"/>
    <x:xf numFmtId="0" fontId="9" fillId="10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1" fillId="17" borderId="0" xfId="0" applyNumberFormat="1" applyFont="1" applyFill="1" applyBorder="1"/>
    <x:xf numFmtId="0" fontId="2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4" fillId="18" borderId="0" xfId="0" applyNumberFormat="1" applyFont="1" applyFill="1" applyBorder="1"/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7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25" fillId="20" borderId="0" xfId="0" applyNumberFormat="1" applyFont="1" applyFill="1" applyBorder="1"/>
    <x:xf numFmtId="0" fontId="25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6" fillId="21" borderId="0" xfId="0" applyNumberFormat="1" applyFont="1" applyFill="1" applyBorder="1"/>
    <x:xf numFmtId="0" fontId="26" fillId="21" borderId="0" xfId="0" applyNumberFormat="1" applyFont="1" applyFill="1" applyBorder="1" applyAlignment="1">
      <x:alignment wrapText="1"/>
    </x:xf>
    <x:xf numFmtId="0" fontId="26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7" fillId="22" borderId="0" xfId="0" applyNumberFormat="1" applyFont="1" applyFill="1" applyBorder="1"/>
    <x:xf numFmtId="0" fontId="17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3E6995"/>
        </x:patternFill>
      </x:fill>
    </x:dxf>
    <x:dxf>
      <x:fill>
        <x:patternFill>
          <x:bgColor rgb="FF7A6097"/>
        </x:patternFill>
      </x:fill>
    </x:dxf>
    <x:dxf>
      <x:fill>
        <x:patternFill>
          <x:bgColor rgb="FF46898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cec1a53f243ac" /><Relationship Type="http://schemas.openxmlformats.org/officeDocument/2006/relationships/theme" Target="/xl/theme/theme1.xml" Id="R7a544d7bfbd944b0" /><Relationship Type="http://schemas.openxmlformats.org/officeDocument/2006/relationships/sharedStrings" Target="/xl/sharedStrings.xml" Id="R573be28c78114bed" /><Relationship Type="http://schemas.openxmlformats.org/officeDocument/2006/relationships/worksheet" Target="/xl/worksheets/sheet1.xml" Id="Rae1a27248cc74b6b" /><Relationship Type="http://schemas.openxmlformats.org/officeDocument/2006/relationships/worksheet" Target="/xl/worksheets/sheet2.xml" Id="R367179481af04a9d" /><Relationship Type="http://schemas.openxmlformats.org/officeDocument/2006/relationships/worksheet" Target="/xl/worksheets/sheet3.xml" Id="R8bdd5a68d5f849a8" /><Relationship Type="http://schemas.openxmlformats.org/officeDocument/2006/relationships/worksheet" Target="/xl/worksheets/sheet4.xml" Id="R1ec28d820f3f4798" /><Relationship Type="http://schemas.openxmlformats.org/officeDocument/2006/relationships/worksheet" Target="/xl/worksheets/sheet5.xml" Id="R57c7b365a34849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12" hidden="0" customWidth="1"/>
    <x:col min="2" max="2" width="39" hidden="0" customWidth="1"/>
    <x:col min="3" max="3" width="22" hidden="0" customWidth="1"/>
    <x:col min="4" max="4" width="13" hidden="0" customWidth="1"/>
    <x:col min="5" max="5" width="11" hidden="0" customWidth="1"/>
    <x:col min="6" max="6" width="16" hidden="0" customWidth="1"/>
    <x:col min="7" max="7" width="16" hidden="0" customWidth="1"/>
    <x:col min="8" max="8" width="9" hidden="0" customWidth="1"/>
    <x:col min="9" max="9" width="19" hidden="0" customWidth="1"/>
    <x:col min="10" max="10" width="16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</x:cols>
  <x:sheetData>
    <x:row r="1" ht="27" customHeight="1">
      <x:c r="A1" s="4" t="str">
        <x:v>C++ CTF AGENT  |  FRONTIER + BFS + FSM COMPETITION GANTT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27" customHeight="1">
      <x:c r="A3" s="10" t="str">
        <x:v>Unknown-map exploration + goal control  •  19 Oct 2026 – 31 Jan 2027  •  proposed 300 person-hours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</x:row>
    <x:row r="5" ht="22" customHeight="1">
      <x:c r="A5" s="17" t="str">
        <x:v>TOTAL HOURS</x:v>
      </x:c>
      <x:c r="B5" s="17"/>
      <x:c r="C5" s="17"/>
      <x:c r="D5" s="17" t="str">
        <x:v>SOFTWARE</x:v>
      </x:c>
      <x:c r="E5" s="17"/>
      <x:c r="F5" s="17"/>
      <x:c r="G5" s="17" t="str">
        <x:v>RESEARCH</x:v>
      </x:c>
      <x:c r="H5" s="17"/>
      <x:c r="I5" s="17"/>
      <x:c r="J5" s="17" t="str">
        <x:v>JOINT</x:v>
      </x:c>
      <x:c r="K5" s="17"/>
      <x:c r="L5" s="17"/>
      <x:c r="M5" s="17" t="str">
        <x:v>AISWARYA</x:v>
      </x:c>
      <x:c r="N5" s="17"/>
      <x:c r="O5" s="17"/>
      <x:c r="P5" s="17"/>
      <x:c r="Q5" s="17" t="str">
        <x:v>NIRMAL</x:v>
      </x:c>
      <x:c r="R5" s="17"/>
      <x:c r="S5" s="17"/>
      <x:c r="T5" s="17"/>
      <x:c r="U5" s="17" t="str">
        <x:v>WORK PACKAGES</x:v>
      </x:c>
      <x:c r="V5" s="17"/>
      <x:c r="W5" s="17"/>
      <x:c r="X5" s="17"/>
      <x:c r="Y5" s="17"/>
    </x:row>
    <x:row r="6" ht="23" customHeight="1">
      <x:c r="A6" s="25" t="n">
        <x:f>SUM(E12:E25)</x:f>
        <x:v>300</x:v>
      </x:c>
      <x:c r="B6" s="25"/>
      <x:c r="C6" s="25"/>
      <x:c r="D6" s="25" t="n">
        <x:f>SUMIF(C12:C25,"Software Engineering",E12:E25)</x:f>
        <x:v>110</x:v>
      </x:c>
      <x:c r="E6" s="25"/>
      <x:c r="F6" s="25"/>
      <x:c r="G6" s="25" t="n">
        <x:f>SUMIF(C12:C25,"Research",E12:E25)</x:f>
        <x:v>114</x:v>
      </x:c>
      <x:c r="H6" s="25"/>
      <x:c r="I6" s="25"/>
      <x:c r="J6" s="25" t="n">
        <x:f>SUMIF(C12:C25,"Joint",E12:E25)</x:f>
        <x:v>76</x:v>
      </x:c>
      <x:c r="K6" s="25"/>
      <x:c r="L6" s="25"/>
      <x:c r="M6" s="25" t="n">
        <x:f>SUMIF(D12:D25,"Aiswarya",E12:E25)+SUMIF(D12:D25,"Both",E12:E25)/2</x:f>
        <x:v>148</x:v>
      </x:c>
      <x:c r="N6" s="25"/>
      <x:c r="O6" s="25"/>
      <x:c r="P6" s="25"/>
      <x:c r="Q6" s="25" t="n">
        <x:f>SUMIF(D12:D25,"Nirmal",E12:E25)+SUMIF(D12:D25,"Both",E12:E25)/2</x:f>
        <x:v>152</x:v>
      </x:c>
      <x:c r="R6" s="25"/>
      <x:c r="S6" s="25"/>
      <x:c r="T6" s="25"/>
      <x:c r="U6" s="25" t="n">
        <x:f>COUNTA(A12:A25)</x:f>
        <x:v>14</x:v>
      </x:c>
      <x:c r="V6" s="25"/>
      <x:c r="W6" s="25"/>
      <x:c r="X6" s="25"/>
      <x:c r="Y6" s="25"/>
    </x:row>
    <x:row r="7" ht="23" customHeight="1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</x:row>
    <x:row r="9" ht="24" customHeight="1">
      <x:c r="A9" s="32" t="str">
        <x:v>SOFTWARE ENGINEERING  •  AISWARYA</x:v>
      </x:c>
      <x:c r="B9" s="32"/>
      <x:c r="C9" s="32"/>
      <x:c r="D9" s="32"/>
      <x:c r="E9" s="38" t="str">
        <x:v>RESEARCH  •  NIRMAL</x:v>
      </x:c>
      <x:c r="F9" s="38"/>
      <x:c r="G9" s="38"/>
      <x:c r="H9" s="38"/>
      <x:c r="I9" s="44" t="str">
        <x:v>JOINT / BUFFER  •  BOTH</x:v>
      </x:c>
      <x:c r="J9" s="44"/>
      <x:c r="K9" s="44"/>
      <x:c r="L9" s="44"/>
      <x:c r="M9" s="49" t="str">
        <x:v>Edit START / DAYS / HOURS in the task table. Colored Gantt bars update automatically in Excel.</x:v>
      </x:c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</x:row>
    <x:row r="10" ht="22" customHeight="1">
      <x:c r="A10" s="58" t="str">
        <x:v>14 WORK PACKAGES  •  PLANNED STARTS, DURATIONS AND EFFORT</x:v>
      </x:c>
      <x:c r="B10" s="58"/>
      <x:c r="C10" s="58"/>
      <x:c r="D10" s="58"/>
      <x:c r="E10" s="58"/>
      <x:c r="F10" s="58"/>
      <x:c r="G10" s="58"/>
      <x:c r="H10" s="58"/>
      <x:c r="I10" s="58"/>
      <x:c r="J10" s="58"/>
      <x:c r="K10" s="54" t="str">
        <x:v>OCT 2026</x:v>
      </x:c>
      <x:c r="L10" s="54"/>
      <x:c r="M10" s="54" t="str">
        <x:v>NOV 2026</x:v>
      </x:c>
      <x:c r="N10" s="54"/>
      <x:c r="O10" s="54"/>
      <x:c r="P10" s="54"/>
      <x:c r="Q10" s="54"/>
      <x:c r="R10" s="54" t="str">
        <x:v>DEC 2026</x:v>
      </x:c>
      <x:c r="S10" s="54"/>
      <x:c r="T10" s="54"/>
      <x:c r="U10" s="54"/>
      <x:c r="V10" s="54" t="str">
        <x:v>JAN 2027</x:v>
      </x:c>
      <x:c r="W10" s="54"/>
      <x:c r="X10" s="54"/>
      <x:c r="Y10" s="54"/>
    </x:row>
    <x:row r="11" ht="26" customHeight="1">
      <x:c r="A11" s="68" t="str">
        <x:v>WP</x:v>
      </x:c>
      <x:c r="B11" s="68" t="str">
        <x:v>Work package</x:v>
      </x:c>
      <x:c r="C11" s="68" t="str">
        <x:v>Workstream</x:v>
      </x:c>
      <x:c r="D11" s="68" t="str">
        <x:v>Owner</x:v>
      </x:c>
      <x:c r="E11" s="68" t="str">
        <x:v>Hours</x:v>
      </x:c>
      <x:c r="F11" s="68" t="str">
        <x:v>Start</x:v>
      </x:c>
      <x:c r="G11" s="68" t="str">
        <x:v>Finish¹</x:v>
      </x:c>
      <x:c r="H11" s="68" t="str">
        <x:v>Days</x:v>
      </x:c>
      <x:c r="I11" s="68" t="str">
        <x:v>Depends on²</x:v>
      </x:c>
      <x:c r="J11" s="68" t="str">
        <x:v>Status</x:v>
      </x:c>
      <x:c r="K11" s="69" t="n">
        <x:v>46314</x:v>
      </x:c>
      <x:c r="L11" s="69" t="n">
        <x:v>46321</x:v>
      </x:c>
      <x:c r="M11" s="69" t="n">
        <x:v>46328</x:v>
      </x:c>
      <x:c r="N11" s="69" t="n">
        <x:v>46335</x:v>
      </x:c>
      <x:c r="O11" s="69" t="n">
        <x:v>46342</x:v>
      </x:c>
      <x:c r="P11" s="69" t="n">
        <x:v>46349</x:v>
      </x:c>
      <x:c r="Q11" s="69" t="n">
        <x:v>46356</x:v>
      </x:c>
      <x:c r="R11" s="69" t="n">
        <x:v>46363</x:v>
      </x:c>
      <x:c r="S11" s="69" t="n">
        <x:v>46370</x:v>
      </x:c>
      <x:c r="T11" s="69" t="n">
        <x:v>46377</x:v>
      </x:c>
      <x:c r="U11" s="69" t="n">
        <x:v>46384</x:v>
      </x:c>
      <x:c r="V11" s="69" t="n">
        <x:v>46391</x:v>
      </x:c>
      <x:c r="W11" s="69" t="n">
        <x:v>46398</x:v>
      </x:c>
      <x:c r="X11" s="69" t="n">
        <x:v>46405</x:v>
      </x:c>
      <x:c r="Y11" s="69" t="n">
        <x:v>46412</x:v>
      </x:c>
    </x:row>
    <x:row r="12" ht="30" customHeight="1">
      <x:c r="A12" s="88" t="str">
        <x:v>WP-01</x:v>
      </x:c>
      <x:c r="B12" s="197" t="str">
        <x:v>Competition requirements &amp; rules</x:v>
      </x:c>
      <x:c r="C12" s="85" t="str">
        <x:v>Software Engineering</x:v>
      </x:c>
      <x:c r="D12" s="88" t="str">
        <x:v>Aiswarya</x:v>
      </x:c>
      <x:c r="E12" s="130" t="n">
        <x:v>12</x:v>
      </x:c>
      <x:c r="F12" s="126" t="n">
        <x:v>46314</x:v>
      </x:c>
      <x:c r="G12" s="126" t="n">
        <x:f>F12+H12-1</x:f>
        <x:v>46327</x:v>
      </x:c>
      <x:c r="H12" s="94" t="n">
        <x:v>14</x:v>
      </x:c>
      <x:c r="I12" s="80" t="str">
        <x:v>—</x:v>
      </x:c>
      <x:c r="J12" s="97" t="str">
        <x:v>Planned</x:v>
      </x:c>
      <x:c r="K12" s="134"/>
      <x:c r="L12" s="134"/>
      <x:c r="M12" s="134"/>
      <x:c r="N12" s="134"/>
      <x:c r="O12" s="134"/>
      <x:c r="P12" s="134"/>
      <x:c r="Q12" s="134"/>
      <x:c r="R12" s="134"/>
      <x:c r="S12" s="134"/>
      <x:c r="T12" s="134"/>
      <x:c r="U12" s="134"/>
      <x:c r="V12" s="134"/>
      <x:c r="W12" s="134"/>
      <x:c r="X12" s="134"/>
      <x:c r="Y12" s="134"/>
    </x:row>
    <x:row r="13" ht="30" customHeight="1">
      <x:c r="A13" s="106" t="str">
        <x:v>WP-02</x:v>
      </x:c>
      <x:c r="B13" s="198" t="str">
        <x:v>API, movement outcome &amp; pose checks</x:v>
      </x:c>
      <x:c r="C13" s="85" t="str">
        <x:v>Software Engineering</x:v>
      </x:c>
      <x:c r="D13" s="106" t="str">
        <x:v>Aiswarya</x:v>
      </x:c>
      <x:c r="E13" s="131" t="n">
        <x:v>14</x:v>
      </x:c>
      <x:c r="F13" s="127" t="n">
        <x:v>46321</x:v>
      </x:c>
      <x:c r="G13" s="127" t="n">
        <x:f>F13+H13-1</x:f>
        <x:v>46341</x:v>
      </x:c>
      <x:c r="H13" s="112" t="n">
        <x:v>21</x:v>
      </x:c>
      <x:c r="I13" s="102" t="str">
        <x:v>WP-01</x:v>
      </x:c>
      <x:c r="J13" s="115" t="str">
        <x:v>Planned</x:v>
      </x:c>
      <x:c r="K13" s="135"/>
      <x:c r="L13" s="135"/>
      <x:c r="M13" s="135"/>
      <x:c r="N13" s="135"/>
      <x:c r="O13" s="135"/>
      <x:c r="P13" s="135"/>
      <x:c r="Q13" s="135"/>
      <x:c r="R13" s="135"/>
      <x:c r="S13" s="135"/>
      <x:c r="T13" s="135"/>
      <x:c r="U13" s="135"/>
      <x:c r="V13" s="135"/>
      <x:c r="W13" s="135"/>
      <x:c r="X13" s="135"/>
      <x:c r="Y13" s="135"/>
    </x:row>
    <x:row r="14" ht="30" customHeight="1">
      <x:c r="A14" s="88" t="str">
        <x:v>WP-03</x:v>
      </x:c>
      <x:c r="B14" s="197" t="str">
        <x:v>Map memory &amp; confidence tracking</x:v>
      </x:c>
      <x:c r="C14" s="85" t="str">
        <x:v>Software Engineering</x:v>
      </x:c>
      <x:c r="D14" s="88" t="str">
        <x:v>Aiswarya</x:v>
      </x:c>
      <x:c r="E14" s="130" t="n">
        <x:v>30</x:v>
      </x:c>
      <x:c r="F14" s="126" t="n">
        <x:v>46328</x:v>
      </x:c>
      <x:c r="G14" s="126" t="n">
        <x:f>F14+H14-1</x:f>
        <x:v>46369</x:v>
      </x:c>
      <x:c r="H14" s="94" t="n">
        <x:v>42</x:v>
      </x:c>
      <x:c r="I14" s="80" t="str">
        <x:v>WP-02</x:v>
      </x:c>
      <x:c r="J14" s="97" t="str">
        <x:v>Planned</x:v>
      </x:c>
      <x:c r="K14" s="134"/>
      <x:c r="L14" s="134"/>
      <x:c r="M14" s="134"/>
      <x:c r="N14" s="134"/>
      <x:c r="O14" s="134"/>
      <x:c r="P14" s="134"/>
      <x:c r="Q14" s="134"/>
      <x:c r="R14" s="134"/>
      <x:c r="S14" s="134"/>
      <x:c r="T14" s="134"/>
      <x:c r="U14" s="134"/>
      <x:c r="V14" s="134"/>
      <x:c r="W14" s="134"/>
      <x:c r="X14" s="134"/>
      <x:c r="Y14" s="134"/>
    </x:row>
    <x:row r="15" ht="30" customHeight="1">
      <x:c r="A15" s="106" t="str">
        <x:v>WP-04</x:v>
      </x:c>
      <x:c r="B15" s="198" t="str">
        <x:v>Frontier exploration &amp; safe fallback</x:v>
      </x:c>
      <x:c r="C15" s="85" t="str">
        <x:v>Software Engineering</x:v>
      </x:c>
      <x:c r="D15" s="106" t="str">
        <x:v>Aiswarya</x:v>
      </x:c>
      <x:c r="E15" s="131" t="n">
        <x:v>24</x:v>
      </x:c>
      <x:c r="F15" s="127" t="n">
        <x:v>46349</x:v>
      </x:c>
      <x:c r="G15" s="127" t="n">
        <x:f>F15+H15-1</x:f>
        <x:v>46383</x:v>
      </x:c>
      <x:c r="H15" s="112" t="n">
        <x:v>35</x:v>
      </x:c>
      <x:c r="I15" s="102" t="str">
        <x:v>WP-02/03</x:v>
      </x:c>
      <x:c r="J15" s="115" t="str">
        <x:v>Planned</x:v>
      </x:c>
      <x:c r="K15" s="135"/>
      <x:c r="L15" s="135"/>
      <x:c r="M15" s="135"/>
      <x:c r="N15" s="135"/>
      <x:c r="O15" s="135"/>
      <x:c r="P15" s="135"/>
      <x:c r="Q15" s="135"/>
      <x:c r="R15" s="135"/>
      <x:c r="S15" s="135"/>
      <x:c r="T15" s="135"/>
      <x:c r="U15" s="135"/>
      <x:c r="V15" s="135"/>
      <x:c r="W15" s="135"/>
      <x:c r="X15" s="135"/>
      <x:c r="Y15" s="135"/>
    </x:row>
    <x:row r="16" ht="30" customHeight="1">
      <x:c r="A16" s="88" t="str">
        <x:v>WP-05</x:v>
      </x:c>
      <x:c r="B16" s="197" t="str">
        <x:v>FSM, BFS, flags &amp; opponent response</x:v>
      </x:c>
      <x:c r="C16" s="85" t="str">
        <x:v>Software Engineering</x:v>
      </x:c>
      <x:c r="D16" s="88" t="str">
        <x:v>Aiswarya</x:v>
      </x:c>
      <x:c r="E16" s="130" t="n">
        <x:v>30</x:v>
      </x:c>
      <x:c r="F16" s="126" t="n">
        <x:v>46370</x:v>
      </x:c>
      <x:c r="G16" s="126" t="n">
        <x:f>F16+H16-1</x:f>
        <x:v>46404</x:v>
      </x:c>
      <x:c r="H16" s="94" t="n">
        <x:v>35</x:v>
      </x:c>
      <x:c r="I16" s="80" t="str">
        <x:v>WP-03/04</x:v>
      </x:c>
      <x:c r="J16" s="97" t="str">
        <x:v>Planned</x:v>
      </x:c>
      <x:c r="K16" s="134"/>
      <x:c r="L16" s="134"/>
      <x:c r="M16" s="134"/>
      <x:c r="N16" s="134"/>
      <x:c r="O16" s="134"/>
      <x:c r="P16" s="134"/>
      <x:c r="Q16" s="134"/>
      <x:c r="R16" s="134"/>
      <x:c r="S16" s="134"/>
      <x:c r="T16" s="134"/>
      <x:c r="U16" s="134"/>
      <x:c r="V16" s="134"/>
      <x:c r="W16" s="134"/>
      <x:c r="X16" s="134"/>
      <x:c r="Y16" s="134"/>
    </x:row>
    <x:row r="17" ht="30" customHeight="1">
      <x:c r="A17" s="106" t="str">
        <x:v>WP-06</x:v>
      </x:c>
      <x:c r="B17" s="198" t="str">
        <x:v>Unknown-map literature &amp; hypotheses</x:v>
      </x:c>
      <x:c r="C17" s="119" t="str">
        <x:v>Research</x:v>
      </x:c>
      <x:c r="D17" s="106" t="str">
        <x:v>Nirmal</x:v>
      </x:c>
      <x:c r="E17" s="131" t="n">
        <x:v>24</x:v>
      </x:c>
      <x:c r="F17" s="127" t="n">
        <x:v>46314</x:v>
      </x:c>
      <x:c r="G17" s="127" t="n">
        <x:f>F17+H17-1</x:f>
        <x:v>46355</x:v>
      </x:c>
      <x:c r="H17" s="112" t="n">
        <x:v>42</x:v>
      </x:c>
      <x:c r="I17" s="102" t="str">
        <x:v>—</x:v>
      </x:c>
      <x:c r="J17" s="115" t="str">
        <x:v>Planned</x:v>
      </x:c>
      <x:c r="K17" s="135"/>
      <x:c r="L17" s="135"/>
      <x:c r="M17" s="135"/>
      <x:c r="N17" s="135"/>
      <x:c r="O17" s="135"/>
      <x:c r="P17" s="135"/>
      <x:c r="Q17" s="135"/>
      <x:c r="R17" s="135"/>
      <x:c r="S17" s="135"/>
      <x:c r="T17" s="135"/>
      <x:c r="U17" s="135"/>
      <x:c r="V17" s="135"/>
      <x:c r="W17" s="135"/>
      <x:c r="X17" s="135"/>
      <x:c r="Y17" s="135"/>
    </x:row>
    <x:row r="18" ht="30" customHeight="1">
      <x:c r="A18" s="88" t="str">
        <x:v>WP-07</x:v>
      </x:c>
      <x:c r="B18" s="197" t="str">
        <x:v>Competition metrics &amp; experiment design</x:v>
      </x:c>
      <x:c r="C18" s="119" t="str">
        <x:v>Research</x:v>
      </x:c>
      <x:c r="D18" s="88" t="str">
        <x:v>Nirmal</x:v>
      </x:c>
      <x:c r="E18" s="130" t="n">
        <x:v>18</x:v>
      </x:c>
      <x:c r="F18" s="126" t="n">
        <x:v>46321</x:v>
      </x:c>
      <x:c r="G18" s="126" t="n">
        <x:f>F18+H18-1</x:f>
        <x:v>46355</x:v>
      </x:c>
      <x:c r="H18" s="94" t="n">
        <x:v>35</x:v>
      </x:c>
      <x:c r="I18" s="80" t="str">
        <x:v>WP-06</x:v>
      </x:c>
      <x:c r="J18" s="97" t="str">
        <x:v>Planned</x:v>
      </x:c>
      <x:c r="K18" s="134"/>
      <x:c r="L18" s="134"/>
      <x:c r="M18" s="134"/>
      <x:c r="N18" s="134"/>
      <x:c r="O18" s="134"/>
      <x:c r="P18" s="134"/>
      <x:c r="Q18" s="134"/>
      <x:c r="R18" s="134"/>
      <x:c r="S18" s="134"/>
      <x:c r="T18" s="134"/>
      <x:c r="U18" s="134"/>
      <x:c r="V18" s="134"/>
      <x:c r="W18" s="134"/>
      <x:c r="X18" s="134"/>
      <x:c r="Y18" s="134"/>
    </x:row>
    <x:row r="19" ht="30" customHeight="1">
      <x:c r="A19" s="106" t="str">
        <x:v>WP-08</x:v>
      </x:c>
      <x:c r="B19" s="198" t="str">
        <x:v>Held-out maps, harness &amp; baselines</x:v>
      </x:c>
      <x:c r="C19" s="119" t="str">
        <x:v>Research</x:v>
      </x:c>
      <x:c r="D19" s="106" t="str">
        <x:v>Nirmal</x:v>
      </x:c>
      <x:c r="E19" s="131" t="n">
        <x:v>24</x:v>
      </x:c>
      <x:c r="F19" s="127" t="n">
        <x:v>46335</x:v>
      </x:c>
      <x:c r="G19" s="127" t="n">
        <x:f>F19+H19-1</x:f>
        <x:v>46383</x:v>
      </x:c>
      <x:c r="H19" s="112" t="n">
        <x:v>49</x:v>
      </x:c>
      <x:c r="I19" s="102" t="str">
        <x:v>WP-02/07</x:v>
      </x:c>
      <x:c r="J19" s="115" t="str">
        <x:v>Planned</x:v>
      </x:c>
      <x:c r="K19" s="135"/>
      <x:c r="L19" s="135"/>
      <x:c r="M19" s="135"/>
      <x:c r="N19" s="135"/>
      <x:c r="O19" s="135"/>
      <x:c r="P19" s="135"/>
      <x:c r="Q19" s="135"/>
      <x:c r="R19" s="135"/>
      <x:c r="S19" s="135"/>
      <x:c r="T19" s="135"/>
      <x:c r="U19" s="135"/>
      <x:c r="V19" s="135"/>
      <x:c r="W19" s="135"/>
      <x:c r="X19" s="135"/>
      <x:c r="Y19" s="135"/>
    </x:row>
    <x:row r="20" ht="30" customHeight="1">
      <x:c r="A20" s="88" t="str">
        <x:v>WP-09</x:v>
      </x:c>
      <x:c r="B20" s="197" t="str">
        <x:v>Tournament tests &amp; FSM/FBE ablations</x:v>
      </x:c>
      <x:c r="C20" s="119" t="str">
        <x:v>Research</x:v>
      </x:c>
      <x:c r="D20" s="88" t="str">
        <x:v>Nirmal</x:v>
      </x:c>
      <x:c r="E20" s="130" t="n">
        <x:v>28</x:v>
      </x:c>
      <x:c r="F20" s="126" t="n">
        <x:v>46377</x:v>
      </x:c>
      <x:c r="G20" s="126" t="n">
        <x:f>F20+H20-1</x:f>
        <x:v>46411</x:v>
      </x:c>
      <x:c r="H20" s="94" t="n">
        <x:v>35</x:v>
      </x:c>
      <x:c r="I20" s="80" t="str">
        <x:v>WP-04/05/08</x:v>
      </x:c>
      <x:c r="J20" s="97" t="str">
        <x:v>Planned</x:v>
      </x:c>
      <x:c r="K20" s="134"/>
      <x:c r="L20" s="134"/>
      <x:c r="M20" s="134"/>
      <x:c r="N20" s="134"/>
      <x:c r="O20" s="134"/>
      <x:c r="P20" s="134"/>
      <x:c r="Q20" s="134"/>
      <x:c r="R20" s="134"/>
      <x:c r="S20" s="134"/>
      <x:c r="T20" s="134"/>
      <x:c r="U20" s="134"/>
      <x:c r="V20" s="134"/>
      <x:c r="W20" s="134"/>
      <x:c r="X20" s="134"/>
      <x:c r="Y20" s="134"/>
    </x:row>
    <x:row r="21" ht="30" customHeight="1">
      <x:c r="A21" s="106" t="str">
        <x:v>WP-10</x:v>
      </x:c>
      <x:c r="B21" s="198" t="str">
        <x:v>Win-rate, robustness &amp; validity analysis</x:v>
      </x:c>
      <x:c r="C21" s="119" t="str">
        <x:v>Research</x:v>
      </x:c>
      <x:c r="D21" s="106" t="str">
        <x:v>Nirmal</x:v>
      </x:c>
      <x:c r="E21" s="131" t="n">
        <x:v>20</x:v>
      </x:c>
      <x:c r="F21" s="127" t="n">
        <x:v>46398</x:v>
      </x:c>
      <x:c r="G21" s="127" t="n">
        <x:f>F21+H21-1</x:f>
        <x:v>46418</x:v>
      </x:c>
      <x:c r="H21" s="112" t="n">
        <x:v>21</x:v>
      </x:c>
      <x:c r="I21" s="102" t="str">
        <x:v>WP-09</x:v>
      </x:c>
      <x:c r="J21" s="115" t="str">
        <x:v>Planned</x:v>
      </x:c>
      <x:c r="K21" s="135"/>
      <x:c r="L21" s="135"/>
      <x:c r="M21" s="135"/>
      <x:c r="N21" s="135"/>
      <x:c r="O21" s="135"/>
      <x:c r="P21" s="135"/>
      <x:c r="Q21" s="135"/>
      <x:c r="R21" s="135"/>
      <x:c r="S21" s="135"/>
      <x:c r="T21" s="135"/>
      <x:c r="U21" s="135"/>
      <x:c r="V21" s="135"/>
      <x:c r="W21" s="135"/>
      <x:c r="X21" s="135"/>
      <x:c r="Y21" s="135"/>
    </x:row>
    <x:row r="22" ht="30" customHeight="1">
      <x:c r="A22" s="88" t="str">
        <x:v>WP-11</x:v>
      </x:c>
      <x:c r="B22" s="197" t="str">
        <x:v>Schedule, review &amp; competition briefing</x:v>
      </x:c>
      <x:c r="C22" s="123" t="str">
        <x:v>Joint</x:v>
      </x:c>
      <x:c r="D22" s="88" t="str">
        <x:v>Both</x:v>
      </x:c>
      <x:c r="E22" s="130" t="n">
        <x:v>12</x:v>
      </x:c>
      <x:c r="F22" s="126" t="n">
        <x:v>46314</x:v>
      </x:c>
      <x:c r="G22" s="126" t="n">
        <x:f>F22+H22-1</x:f>
        <x:v>46334</x:v>
      </x:c>
      <x:c r="H22" s="94" t="n">
        <x:v>21</x:v>
      </x:c>
      <x:c r="I22" s="80" t="str">
        <x:v>—</x:v>
      </x:c>
      <x:c r="J22" s="97" t="str">
        <x:v>Planned</x:v>
      </x:c>
      <x:c r="K22" s="134"/>
      <x:c r="L22" s="134"/>
      <x:c r="M22" s="134"/>
      <x:c r="N22" s="134"/>
      <x:c r="O22" s="134"/>
      <x:c r="P22" s="134"/>
      <x:c r="Q22" s="134"/>
      <x:c r="R22" s="134"/>
      <x:c r="S22" s="134"/>
      <x:c r="T22" s="134"/>
      <x:c r="U22" s="134"/>
      <x:c r="V22" s="134"/>
      <x:c r="W22" s="134"/>
      <x:c r="X22" s="134"/>
      <x:c r="Y22" s="134"/>
    </x:row>
    <x:row r="23" ht="30" customHeight="1">
      <x:c r="A23" s="106" t="str">
        <x:v>WP-12</x:v>
      </x:c>
      <x:c r="B23" s="198" t="str">
        <x:v>Agent integration, opponent tests &amp; QA</x:v>
      </x:c>
      <x:c r="C23" s="123" t="str">
        <x:v>Joint</x:v>
      </x:c>
      <x:c r="D23" s="106" t="str">
        <x:v>Both</x:v>
      </x:c>
      <x:c r="E23" s="131" t="n">
        <x:v>34</x:v>
      </x:c>
      <x:c r="F23" s="127" t="n">
        <x:v>46370</x:v>
      </x:c>
      <x:c r="G23" s="127" t="n">
        <x:f>F23+H23-1</x:f>
        <x:v>46411</x:v>
      </x:c>
      <x:c r="H23" s="112" t="n">
        <x:v>42</x:v>
      </x:c>
      <x:c r="I23" s="102" t="str">
        <x:v>WP-04/05</x:v>
      </x:c>
      <x:c r="J23" s="115" t="str">
        <x:v>Planned</x:v>
      </x:c>
      <x:c r="K23" s="135"/>
      <x:c r="L23" s="135"/>
      <x:c r="M23" s="135"/>
      <x:c r="N23" s="135"/>
      <x:c r="O23" s="135"/>
      <x:c r="P23" s="135"/>
      <x:c r="Q23" s="135"/>
      <x:c r="R23" s="135"/>
      <x:c r="S23" s="135"/>
      <x:c r="T23" s="135"/>
      <x:c r="U23" s="135"/>
      <x:c r="V23" s="135"/>
      <x:c r="W23" s="135"/>
      <x:c r="X23" s="135"/>
      <x:c r="Y23" s="135"/>
    </x:row>
    <x:row r="24" ht="30" customHeight="1">
      <x:c r="A24" s="88" t="str">
        <x:v>WP-13</x:v>
      </x:c>
      <x:c r="B24" s="197" t="str">
        <x:v>Final documentation &amp; research report</x:v>
      </x:c>
      <x:c r="C24" s="123" t="str">
        <x:v>Joint</x:v>
      </x:c>
      <x:c r="D24" s="88" t="str">
        <x:v>Both</x:v>
      </x:c>
      <x:c r="E24" s="130" t="n">
        <x:v>20</x:v>
      </x:c>
      <x:c r="F24" s="126" t="n">
        <x:v>46391</x:v>
      </x:c>
      <x:c r="G24" s="126" t="n">
        <x:f>F24+H24-1</x:f>
        <x:v>46418</x:v>
      </x:c>
      <x:c r="H24" s="94" t="n">
        <x:v>28</x:v>
      </x:c>
      <x:c r="I24" s="80" t="str">
        <x:v>WP-10/12</x:v>
      </x:c>
      <x:c r="J24" s="97" t="str">
        <x:v>Planned</x:v>
      </x:c>
      <x:c r="K24" s="134"/>
      <x:c r="L24" s="134"/>
      <x:c r="M24" s="134"/>
      <x:c r="N24" s="134"/>
      <x:c r="O24" s="134"/>
      <x:c r="P24" s="134"/>
      <x:c r="Q24" s="134"/>
      <x:c r="R24" s="134"/>
      <x:c r="S24" s="134"/>
      <x:c r="T24" s="134"/>
      <x:c r="U24" s="134"/>
      <x:c r="V24" s="134"/>
      <x:c r="W24" s="134"/>
      <x:c r="X24" s="134"/>
      <x:c r="Y24" s="134"/>
    </x:row>
    <x:row r="25" ht="30" customHeight="1">
      <x:c r="A25" s="106" t="str">
        <x:v>WP-14</x:v>
      </x:c>
      <x:c r="B25" s="198" t="str">
        <x:v>Contingency &amp; competition readiness</x:v>
      </x:c>
      <x:c r="C25" s="123" t="str">
        <x:v>Joint</x:v>
      </x:c>
      <x:c r="D25" s="106" t="str">
        <x:v>Both</x:v>
      </x:c>
      <x:c r="E25" s="131" t="n">
        <x:v>10</x:v>
      </x:c>
      <x:c r="F25" s="127" t="n">
        <x:v>46405</x:v>
      </x:c>
      <x:c r="G25" s="127" t="n">
        <x:f>F25+H25-1</x:f>
        <x:v>46418</x:v>
      </x:c>
      <x:c r="H25" s="112" t="n">
        <x:v>14</x:v>
      </x:c>
      <x:c r="I25" s="102" t="str">
        <x:v>WP-13</x:v>
      </x:c>
      <x:c r="J25" s="115" t="str">
        <x:v>Planned</x:v>
      </x:c>
      <x:c r="K25" s="135"/>
      <x:c r="L25" s="135"/>
      <x:c r="M25" s="135"/>
      <x:c r="N25" s="135"/>
      <x:c r="O25" s="135"/>
      <x:c r="P25" s="135"/>
      <x:c r="Q25" s="135"/>
      <x:c r="R25" s="135"/>
      <x:c r="S25" s="135"/>
      <x:c r="T25" s="135"/>
      <x:c r="U25" s="135"/>
      <x:c r="V25" s="135"/>
      <x:c r="W25" s="135"/>
      <x:c r="X25" s="135"/>
      <x:c r="Y25" s="135"/>
    </x:row>
    <x:row r="27" ht="27" customHeight="1">
      <x:c r="A27" s="52" t="str">
        <x:v>TOTAL PLANNED PERSON-HOURS</x:v>
      </x:c>
      <x:c r="B27" s="52"/>
      <x:c r="C27" s="52"/>
      <x:c r="D27" s="52"/>
      <x:c r="E27" s="138" t="n">
        <x:f>SUM(E12:E25)</x:f>
        <x:v>300</x:v>
      </x:c>
      <x:c r="F27" s="52"/>
      <x:c r="G27" s="52"/>
      <x:c r="H27" s="52"/>
      <x:c r="I27" s="52"/>
      <x:c r="J27" s="52"/>
      <x:c r="K27" s="141" t="str">
        <x:v>All 14 bars use conditional formatting, not pictures; edit Start or Days to reschedule.</x:v>
      </x:c>
      <x:c r="L27" s="141"/>
      <x:c r="M27" s="141"/>
      <x:c r="N27" s="141"/>
      <x:c r="O27" s="141"/>
      <x:c r="P27" s="141"/>
      <x:c r="Q27" s="141"/>
      <x:c r="R27" s="141"/>
      <x:c r="S27" s="141"/>
      <x:c r="T27" s="141"/>
      <x:c r="U27" s="141"/>
      <x:c r="V27" s="141"/>
      <x:c r="W27" s="141"/>
      <x:c r="X27" s="141"/>
      <x:c r="Y27" s="141"/>
    </x:row>
    <x:row r="29" ht="26" customHeight="1">
      <x:c r="A29" s="145" t="str">
        <x:v>MILESTONES &amp; PROJECT DEPENDENCIES</x:v>
      </x:c>
      <x:c r="B29" s="145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5"/>
      <x:c r="M29" s="145"/>
      <x:c r="N29" s="145"/>
      <x:c r="O29" s="145"/>
      <x:c r="P29" s="145"/>
      <x:c r="Q29" s="145"/>
      <x:c r="R29" s="145"/>
      <x:c r="S29" s="145"/>
      <x:c r="T29" s="145"/>
      <x:c r="U29" s="145"/>
      <x:c r="V29" s="145"/>
      <x:c r="W29" s="145"/>
      <x:c r="X29" s="145"/>
      <x:c r="Y29" s="145"/>
    </x:row>
    <x:row r="30" ht="23" customHeight="1">
      <x:c r="A30" s="149" t="str">
        <x:v>23 Oct 2026  •  Week 3 review</x:v>
      </x:c>
      <x:c r="B30" s="149"/>
      <x:c r="C30" s="149"/>
      <x:c r="D30" s="149"/>
      <x:c r="E30" s="149"/>
      <x:c r="F30" s="149"/>
      <x:c r="G30" s="149"/>
      <x:c r="H30" s="149"/>
      <x:c r="I30" s="149"/>
      <x:c r="J30" s="149"/>
      <x:c r="K30" s="153" t="str">
        <x:v>Completed milestone date given in slide</x:v>
      </x:c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  <x:c r="W30" s="153"/>
      <x:c r="X30" s="153"/>
      <x:c r="Y30" s="153"/>
    </x:row>
    <x:row r="31" ht="23" customHeight="1">
      <x:c r="A31" s="157" t="str">
        <x:v>30 Oct 2026  •  Week 4 strategy decision</x:v>
      </x:c>
      <x:c r="B31" s="157"/>
      <x:c r="C31" s="157"/>
      <x:c r="D31" s="157"/>
      <x:c r="E31" s="157"/>
      <x:c r="F31" s="157"/>
      <x:c r="G31" s="157"/>
      <x:c r="H31" s="157"/>
      <x:c r="I31" s="157"/>
      <x:c r="J31" s="157"/>
      <x:c r="K31" s="161" t="str">
        <x:v>Provisional month-level target</x:v>
      </x:c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</x:row>
    <x:row r="32" ht="23" customHeight="1">
      <x:c r="A32" s="149" t="str">
        <x:v>Nov 2026  •  Unknown-map exploration &amp; baselines</x:v>
      </x:c>
      <x:c r="B32" s="149"/>
      <x:c r="C32" s="149"/>
      <x:c r="D32" s="149"/>
      <x:c r="E32" s="149"/>
      <x:c r="F32" s="149"/>
      <x:c r="G32" s="149"/>
      <x:c r="H32" s="149"/>
      <x:c r="I32" s="149"/>
      <x:c r="J32" s="149"/>
      <x:c r="K32" s="153" t="str">
        <x:v>Provisional month-level target</x:v>
      </x:c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  <x:c r="W32" s="153"/>
      <x:c r="X32" s="153"/>
      <x:c r="Y32" s="153"/>
    </x:row>
    <x:row r="33" ht="23" customHeight="1">
      <x:c r="A33" s="157" t="str">
        <x:v>Dec–Jan  •  Tournament tests &amp; reporting</x:v>
      </x:c>
      <x:c r="B33" s="157"/>
      <x:c r="C33" s="157"/>
      <x:c r="D33" s="157"/>
      <x:c r="E33" s="157"/>
      <x:c r="F33" s="157"/>
      <x:c r="G33" s="157"/>
      <x:c r="H33" s="157"/>
      <x:c r="I33" s="157"/>
      <x:c r="J33" s="157"/>
      <x:c r="K33" s="161" t="str">
        <x:v>Provisional month-level target</x:v>
      </x:c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</x:row>
    <x:row r="35" ht="27" customHeight="1">
      <x:c r="A35" s="166" t="str">
        <x:v>Critical sequence: Rules &amp; movement checks → trustworthy state → explore → objective/tactical policy → held-out matches → robustness analysis.</x:v>
      </x:c>
      <x:c r="B35" s="166"/>
      <x:c r="C35" s="166"/>
      <x:c r="D35" s="166"/>
      <x:c r="E35" s="166"/>
      <x:c r="F35" s="166"/>
      <x:c r="G35" s="166"/>
      <x:c r="H35" s="166"/>
      <x:c r="I35" s="166"/>
      <x:c r="J35" s="166"/>
      <x:c r="K35" s="166"/>
      <x:c r="L35" s="166"/>
      <x:c r="M35" s="166"/>
      <x:c r="N35" s="166"/>
      <x:c r="O35" s="166"/>
      <x:c r="P35" s="166"/>
      <x:c r="Q35" s="166"/>
      <x:c r="R35" s="166"/>
      <x:c r="S35" s="166"/>
      <x:c r="T35" s="166"/>
      <x:c r="U35" s="166"/>
      <x:c r="V35" s="166"/>
      <x:c r="W35" s="166"/>
      <x:c r="X35" s="166"/>
      <x:c r="Y35" s="166"/>
    </x:row>
    <x:row r="36" ht="24" customHeight="1">
      <x:c r="A36" s="114" t="str">
        <x:v>¹ Finish date = Start + Days − 1 (calculated).    ² Dependencies describe handoffs; tasks overlap by design. Compare only implemented, working builds.</x:v>
      </x:c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4"/>
      <x:c r="O36" s="114"/>
      <x:c r="P36" s="114"/>
      <x:c r="Q36" s="114"/>
      <x:c r="R36" s="114"/>
      <x:c r="S36" s="114"/>
      <x:c r="T36" s="114"/>
      <x:c r="U36" s="114"/>
      <x:c r="V36" s="114"/>
      <x:c r="W36" s="114"/>
      <x:c r="X36" s="114"/>
      <x:c r="Y36" s="114"/>
    </x:row>
  </x:sheetData>
  <x:mergeCells>
    <x:mergeCell ref="A1:Y2"/>
    <x:mergeCell ref="A3:Y3"/>
    <x:mergeCell ref="A5:C5"/>
    <x:mergeCell ref="A6:C7"/>
    <x:mergeCell ref="D5:F5"/>
    <x:mergeCell ref="D6:F7"/>
    <x:mergeCell ref="G5:I5"/>
    <x:mergeCell ref="G6:I7"/>
    <x:mergeCell ref="J5:L5"/>
    <x:mergeCell ref="J6:L7"/>
    <x:mergeCell ref="M5:P5"/>
    <x:mergeCell ref="M6:P7"/>
    <x:mergeCell ref="Q5:T5"/>
    <x:mergeCell ref="Q6:T7"/>
    <x:mergeCell ref="U5:Y5"/>
    <x:mergeCell ref="U6:Y7"/>
    <x:mergeCell ref="A9:D9"/>
    <x:mergeCell ref="E9:H9"/>
    <x:mergeCell ref="I9:L9"/>
    <x:mergeCell ref="M9:Y9"/>
    <x:mergeCell ref="K10:L10"/>
    <x:mergeCell ref="M10:Q10"/>
    <x:mergeCell ref="R10:U10"/>
    <x:mergeCell ref="V10:Y10"/>
    <x:mergeCell ref="A10:J10"/>
    <x:mergeCell ref="A27:D27"/>
    <x:mergeCell ref="K27:Y27"/>
    <x:mergeCell ref="A29:Y29"/>
    <x:mergeCell ref="A30:F30"/>
    <x:mergeCell ref="G30:L30"/>
    <x:mergeCell ref="M30:R30"/>
    <x:mergeCell ref="S30:Y30"/>
    <x:mergeCell ref="A30:J30"/>
    <x:mergeCell ref="K30:Y30"/>
    <x:mergeCell ref="A31:J31"/>
    <x:mergeCell ref="K31:Y31"/>
    <x:mergeCell ref="A32:J32"/>
    <x:mergeCell ref="K32:Y32"/>
    <x:mergeCell ref="A33:J33"/>
    <x:mergeCell ref="K33:Y33"/>
    <x:mergeCell ref="A35:Y35"/>
    <x:mergeCell ref="A36:Y36"/>
  </x:mergeCells>
  <x:conditionalFormatting sqref="K12:Y25">
    <x:cfRule type="expression" dxfId="0" priority="1">
      <x:formula>AND(K$11&lt;=$G12,K$11+6&gt;=$F12,$C12="Software Engineering")</x:formula>
    </x:cfRule>
    <x:cfRule type="expression" dxfId="1" priority="2">
      <x:formula>AND(K$11&lt;=$G12,K$11+6&gt;=$F12,$C12="Research")</x:formula>
    </x:cfRule>
    <x:cfRule type="expression" dxfId="2" priority="3">
      <x:formula>AND(K$11&lt;=$G12,K$11+6&gt;=$F12,$C12="Joint")</x:formula>
    </x:cfRule>
  </x:conditionalFormatting>
  <x:dataValidations count="1">
    <x:dataValidation type="list" sqref="J12:J25">
      <x:formula1>"Planned,In progress,Done,On hold"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18" hidden="0" customWidth="1"/>
    <x:col min="4" max="4" width="6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5" customHeight="1">
      <x:c r="A1" s="173" t="str">
        <x:v>FBE + BFS + FSM  |  MILESTONES &amp; EXCEL GUIDE</x:v>
      </x:c>
      <x:c r="B1" s="173"/>
      <x:c r="C1" s="173"/>
      <x:c r="D1" s="173"/>
      <x:c r="E1" s="173"/>
      <x:c r="F1" s="173"/>
      <x:c r="G1" s="173"/>
      <x:c r="H1" s="173"/>
      <x:c r="I1" s="173"/>
      <x:c r="J1" s="173"/>
    </x:row>
    <x:row r="2" ht="25" customHeight="1">
      <x:c r="A2" s="173"/>
      <x:c r="B2" s="173"/>
      <x:c r="C2" s="173"/>
      <x:c r="D2" s="173"/>
      <x:c r="E2" s="173"/>
      <x:c r="F2" s="173"/>
      <x:c r="G2" s="173"/>
      <x:c r="H2" s="173"/>
      <x:c r="I2" s="173"/>
      <x:c r="J2" s="173"/>
    </x:row>
    <x:row r="3" ht="25" customHeight="1">
      <x:c r="A3" s="176" t="str">
        <x:v>Revised from supplied 300-hour chart: unknown competition map + opposing agent. Hours/owners preserved.</x:v>
      </x:c>
      <x:c r="B3" s="176"/>
      <x:c r="C3" s="176"/>
      <x:c r="D3" s="176"/>
      <x:c r="E3" s="176"/>
      <x:c r="F3" s="176"/>
      <x:c r="G3" s="176"/>
      <x:c r="H3" s="176"/>
      <x:c r="I3" s="176"/>
      <x:c r="J3" s="176"/>
    </x:row>
    <x:row r="5" ht="26" customHeight="1">
      <x:c r="A5" s="178" t="str">
        <x:v>Milestone</x:v>
      </x:c>
      <x:c r="B5" s="178" t="str">
        <x:v>Period / date</x:v>
      </x:c>
      <x:c r="C5" s="178" t="str">
        <x:v>Workstream</x:v>
      </x:c>
      <x:c r="D5" s="199" t="str">
        <x:v>Evidence / target</x:v>
      </x:c>
    </x:row>
    <x:row r="6" ht="35" customHeight="1">
      <x:c r="A6" s="186" t="str">
        <x:v>Week 3 review</x:v>
      </x:c>
      <x:c r="B6" s="187" t="n">
        <x:v>46318</x:v>
      </x:c>
      <x:c r="C6" s="186" t="str">
        <x:v>Joint</x:v>
      </x:c>
      <x:c r="D6" s="186" t="str">
        <x:v>Project definition, research plan, initial Gantt presentation</x:v>
      </x:c>
    </x:row>
    <x:row r="7" ht="35" customHeight="1">
      <x:c r="A7" s="186" t="str">
        <x:v>Week 4 approach decision</x:v>
      </x:c>
      <x:c r="B7" s="187" t="n">
        <x:v>46325</x:v>
      </x:c>
      <x:c r="C7" s="186" t="str">
        <x:v>Joint</x:v>
      </x:c>
      <x:c r="D7" s="186" t="str">
        <x:v>Select hybrid exploration-first policy; verify assumptions</x:v>
      </x:c>
    </x:row>
    <x:row r="8" ht="35" customHeight="1">
      <x:c r="A8" s="186" t="str">
        <x:v>Unknown-map baseline</x:v>
      </x:c>
      <x:c r="B8" s="186" t="str">
        <x:v>November 2026</x:v>
      </x:c>
      <x:c r="C8" s="186" t="str">
        <x:v>Software + Research</x:v>
      </x:c>
      <x:c r="D8" s="186" t="str">
        <x:v>Movement outcome tests, varied hidden maps, memory and exploration prototype</x:v>
      </x:c>
    </x:row>
    <x:row r="9" ht="35" customHeight="1">
      <x:c r="A9" s="186" t="str">
        <x:v>Competition testing</x:v>
      </x:c>
      <x:c r="B9" s="186" t="str">
        <x:v>December 2026</x:v>
      </x:c>
      <x:c r="C9" s="186" t="str">
        <x:v>Both</x:v>
      </x:c>
      <x:c r="D9" s="186" t="str">
        <x:v>Opponent variants, flag logic, tactical replanning and safety tests</x:v>
      </x:c>
    </x:row>
    <x:row r="10">
      <x:c r="A10" t="str">
        <x:v>Evaluation &amp; report</x:v>
      </x:c>
      <x:c r="B10" t="str">
        <x:v>January 2027</x:v>
      </x:c>
      <x:c r="C10" t="str">
        <x:v>Research + Joint</x:v>
      </x:c>
      <x:c r="D10" s="182" t="str">
        <x:v>Held-out tournament scores, ablations, confidence/limitations</x:v>
      </x:c>
    </x:row>
    <x:row r="12" ht="26" customHeight="1">
      <x:c r="A12" s="190" t="str">
        <x:v>HOW TO EDIT THE GANTT CHART</x:v>
      </x:c>
      <x:c r="B12" s="190"/>
      <x:c r="C12" s="190"/>
      <x:c r="D12" s="190"/>
      <x:c r="E12" s="190"/>
      <x:c r="F12" s="190"/>
      <x:c r="G12" s="190"/>
      <x:c r="H12" s="190"/>
      <x:c r="I12" s="190"/>
      <x:c r="J12" s="190"/>
    </x:row>
    <x:row r="13" ht="31" customHeight="1">
      <x:c r="A13" s="102" t="str">
        <x:v>1</x:v>
      </x:c>
      <x:c r="B13" s="102" t="str">
        <x:v>Go to the Gantt Chart worksheet; all 14 work packages are in rows 12–25.</x:v>
      </x:c>
      <x:c r="C13" s="102"/>
      <x:c r="D13" s="102"/>
      <x:c r="E13" s="102"/>
      <x:c r="F13" s="102"/>
      <x:c r="G13" s="102"/>
      <x:c r="H13" s="102"/>
      <x:c r="I13" s="102"/>
      <x:c r="J13" s="102"/>
    </x:row>
    <x:row r="14" ht="31" customHeight="1">
      <x:c r="A14" s="80" t="str">
        <x:v>2</x:v>
      </x:c>
      <x:c r="B14" s="80" t="str">
        <x:v>Change Start in column F or Days in column H. Finish in column G updates by formula.</x:v>
      </x:c>
      <x:c r="C14" s="80"/>
      <x:c r="D14" s="80"/>
      <x:c r="E14" s="80"/>
      <x:c r="F14" s="80"/>
      <x:c r="G14" s="80"/>
      <x:c r="H14" s="80"/>
      <x:c r="I14" s="80"/>
      <x:c r="J14" s="80"/>
    </x:row>
    <x:row r="15" ht="31" customHeight="1">
      <x:c r="A15" s="102" t="str">
        <x:v>3</x:v>
      </x:c>
      <x:c r="B15" s="102" t="str">
        <x:v>Change planned effort in column E. The totals in the header and row 27 recalculate.</x:v>
      </x:c>
      <x:c r="C15" s="102"/>
      <x:c r="D15" s="102"/>
      <x:c r="E15" s="102"/>
      <x:c r="F15" s="102"/>
      <x:c r="G15" s="102"/>
      <x:c r="H15" s="102"/>
      <x:c r="I15" s="102"/>
      <x:c r="J15" s="102"/>
    </x:row>
    <x:row r="16" ht="31" customHeight="1">
      <x:c r="A16" s="80" t="str">
        <x:v>4</x:v>
      </x:c>
      <x:c r="B16" s="80" t="str">
        <x:v>Use the Status dropdown in column J to track planning progress.</x:v>
      </x:c>
      <x:c r="C16" s="80"/>
      <x:c r="D16" s="80"/>
      <x:c r="E16" s="80"/>
      <x:c r="F16" s="80"/>
      <x:c r="G16" s="80"/>
      <x:c r="H16" s="80"/>
      <x:c r="I16" s="80"/>
      <x:c r="J16" s="80"/>
    </x:row>
    <x:row r="17" ht="31" customHeight="1">
      <x:c r="A17" s="102" t="str">
        <x:v>5</x:v>
      </x:c>
      <x:c r="B17" s="102" t="str">
        <x:v>Colors: Software (blue), Research (purple), Joint (teal); all periods remain provisional.</x:v>
      </x:c>
      <x:c r="C17" s="102"/>
      <x:c r="D17" s="102"/>
      <x:c r="E17" s="102"/>
      <x:c r="F17" s="102"/>
      <x:c r="G17" s="102"/>
      <x:c r="H17" s="102"/>
      <x:c r="I17" s="102"/>
      <x:c r="J17" s="102"/>
    </x:row>
    <x:row r="18" ht="31" customHeight="1">
      <x:c r="A18" s="80" t="str">
        <x:v>6</x:v>
      </x:c>
      <x:c r="B18" s="80" t="str">
        <x:v>Do not train/tune on the friend's final competition map; use your own diverse development maps plus hidden held-out maps.</x:v>
      </x:c>
      <x:c r="C18" s="80"/>
      <x:c r="D18" s="80"/>
      <x:c r="E18" s="80"/>
      <x:c r="F18" s="80"/>
      <x:c r="G18" s="80"/>
      <x:c r="H18" s="80"/>
      <x:c r="I18" s="80"/>
      <x:c r="J18" s="80"/>
    </x:row>
    <x:row r="19" ht="31" customHeight="1">
      <x:c r="A19" s="102" t="str">
        <x:v>7</x:v>
      </x:c>
      <x:c r="B19" s="102" t="str">
        <x:v>Map dimensions are supplied, but neither absolute coordinates nor movement-success confirmation are guaranteed by the header.</x:v>
      </x:c>
      <x:c r="C19" s="102"/>
      <x:c r="D19" s="102"/>
      <x:c r="E19" s="102"/>
      <x:c r="F19" s="102"/>
      <x:c r="G19" s="102"/>
      <x:c r="H19" s="102"/>
      <x:c r="I19" s="102"/>
      <x:c r="J19" s="102"/>
    </x:row>
    <x:row r="20" ht="31" customHeight="1">
      <x:c r="A20" s="80" t="str">
        <x:v>8</x:v>
      </x:c>
      <x:c r="B20" s="80" t="str">
        <x:v>Keep original 300-hour allocation; hours mean person-hours, not hours completed.</x:v>
      </x:c>
      <x:c r="C20" s="80"/>
      <x:c r="D20" s="80"/>
      <x:c r="E20" s="80"/>
      <x:c r="F20" s="80"/>
      <x:c r="G20" s="80"/>
      <x:c r="H20" s="80"/>
      <x:c r="I20" s="80"/>
      <x:c r="J20" s="80"/>
    </x:row>
    <x:row r="23" ht="26" customHeight="1">
      <x:c r="A23" s="190" t="str">
        <x:v>PROJECT RESPONSIBILITIES &amp; PLANNED PERSON-HOURS</x:v>
      </x:c>
      <x:c r="B23" s="190"/>
      <x:c r="C23" s="190"/>
      <x:c r="D23" s="190"/>
      <x:c r="E23" s="190"/>
      <x:c r="F23" s="190"/>
      <x:c r="G23" s="190"/>
      <x:c r="H23" s="190"/>
      <x:c r="I23" s="190"/>
      <x:c r="J23" s="190"/>
    </x:row>
    <x:row r="24" ht="25" customHeight="1">
      <x:c r="A24" s="192" t="str">
        <x:v>Workstream</x:v>
      </x:c>
      <x:c r="B24" s="192" t="str">
        <x:v>Primary owner</x:v>
      </x:c>
      <x:c r="C24" s="192" t="str">
        <x:v>Planned hours</x:v>
      </x:c>
    </x:row>
    <x:row r="25">
      <x:c r="A25" t="str">
        <x:v>Software Engineering</x:v>
      </x:c>
      <x:c r="B25" t="str">
        <x:v>Aiswarya</x:v>
      </x:c>
      <x:c r="C25" t="n">
        <x:f>'Gantt Chart'!E6</x:f>
        <x:v>0</x:v>
      </x:c>
    </x:row>
    <x:row r="26">
      <x:c r="A26" t="str">
        <x:v>Research</x:v>
      </x:c>
      <x:c r="B26" t="str">
        <x:v>Nirmal</x:v>
      </x:c>
      <x:c r="C26" t="n">
        <x:f>'Gantt Chart'!H6</x:f>
        <x:v>0</x:v>
      </x:c>
    </x:row>
    <x:row r="27">
      <x:c r="A27" t="str">
        <x:v>Joint</x:v>
      </x:c>
      <x:c r="B27" t="str">
        <x:v>Both</x:v>
      </x:c>
      <x:c r="C27" t="n">
        <x:f>'Gantt Chart'!K6</x:f>
        <x:v>0</x:v>
      </x:c>
    </x:row>
    <x:row r="28" ht="26" customHeight="1">
      <x:c r="A28" s="190" t="str">
        <x:v>TOTAL</x:v>
      </x:c>
      <x:c r="B28" s="190"/>
      <x:c r="C28" s="190" t="n">
        <x:f>SUM(C25:C27)</x:f>
        <x:v>0</x:v>
      </x:c>
    </x:row>
    <x:row r="30" ht="28" customHeight="1">
      <x:c r="A30" s="195" t="str">
        <x:v>DISCLAIMER  •  300 hours are planned estimates for the two-person team, not hours already worked or confirmed university requirements.</x:v>
      </x:c>
      <x:c r="B30" s="195"/>
      <x:c r="C30" s="195"/>
      <x:c r="D30" s="195"/>
      <x:c r="E30" s="195"/>
      <x:c r="F30" s="195"/>
      <x:c r="G30" s="195"/>
      <x:c r="H30" s="195"/>
      <x:c r="I30" s="195"/>
      <x:c r="J30" s="195"/>
    </x:row>
  </x:sheetData>
  <x:mergeCells>
    <x:mergeCell ref="A1:J2"/>
    <x:mergeCell ref="A3:J3"/>
    <x:mergeCell ref="A12:J12"/>
    <x:mergeCell ref="B13:J13"/>
    <x:mergeCell ref="B14:J14"/>
    <x:mergeCell ref="B15:J15"/>
    <x:mergeCell ref="B16:J16"/>
    <x:mergeCell ref="B17:J17"/>
    <x:mergeCell ref="B18:J18"/>
    <x:mergeCell ref="B19:J19"/>
    <x:mergeCell ref="B20:J20"/>
    <x:mergeCell ref="A23:J23"/>
    <x:mergeCell ref="A30:J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4" hidden="0" customWidth="1"/>
    <x:col min="3" max="3" width="49" hidden="0" customWidth="1"/>
    <x:col min="4" max="4" width="45" hidden="0" customWidth="1"/>
    <x:col min="5" max="5" width="18" hidden="0" customWidth="1"/>
    <x:col min="6" max="6" width="32" hidden="0" customWidth="1"/>
  </x:cols>
  <x:sheetData>
    <x:row r="1" ht="35" customHeight="1">
      <x:c r="A1" s="202" t="str">
        <x:v>COMPETITION RESEARCH  |  FBE + BFS + FSM  |  HELD-OUT MAPS</x:v>
      </x:c>
      <x:c r="B1" s="202"/>
      <x:c r="C1" s="202"/>
      <x:c r="D1" s="202"/>
      <x:c r="E1" s="202"/>
      <x:c r="F1" s="202"/>
    </x:row>
    <x:row r="3" ht="28" customHeight="1">
      <x:c r="A3" s="204" t="str">
        <x:v>Preliminary choice • safe local fallback • A* optional • no performance results yet</x:v>
      </x:c>
      <x:c r="B3" s="204"/>
      <x:c r="C3" s="204"/>
      <x:c r="D3" s="204"/>
      <x:c r="E3" s="204"/>
      <x:c r="F3" s="204"/>
    </x:row>
    <x:row r="5" ht="28" customHeight="1">
      <x:c r="A5" s="207" t="str">
        <x:v>Stage</x:v>
      </x:c>
      <x:c r="B5" s="207" t="str">
        <x:v>Question / objective</x:v>
      </x:c>
      <x:c r="C5" s="207" t="str">
        <x:v>Suggested method</x:v>
      </x:c>
      <x:c r="D5" s="207" t="str">
        <x:v>Evidence to collect</x:v>
      </x:c>
      <x:c r="E5" s="207" t="str">
        <x:v>Owner</x:v>
      </x:c>
      <x:c r="F5" s="207" t="str">
        <x:v>Gate / dependency</x:v>
      </x:c>
    </x:row>
    <x:row r="6" ht="70" customHeight="1">
      <x:c r="A6" s="182" t="str">
        <x:v>1. Rule audit</x:v>
      </x:c>
      <x:c r="B6" s="182" t="str">
        <x:v>What counts as winning? How do pickups, diagonals, tagging/collisions, turns work?</x:v>
      </x:c>
      <x:c r="C6" s="182" t="str">
        <x:v>Read host rules and make controlled observations</x:v>
      </x:c>
      <x:c r="D6" s="182" t="str">
        <x:v>Rules and API tests</x:v>
      </x:c>
      <x:c r="E6" s="182" t="str">
        <x:v>Both</x:v>
      </x:c>
      <x:c r="F6" s="182" t="str">
        <x:v>Before flag/opponent logic</x:v>
      </x:c>
    </x:row>
    <x:row r="7" ht="70" customHeight="1">
      <x:c r="A7" s="182" t="str">
        <x:v>2. Baselines</x:v>
      </x:c>
      <x:c r="B7" s="182" t="str">
        <x:v>How do random and safe movement behave on diverse unseen maps?</x:v>
      </x:c>
      <x:c r="C7" s="182" t="str">
        <x:v>Same starting layouts/turn limits; random, 4-way random, safe agent</x:v>
      </x:c>
      <x:c r="D7" s="182" t="str">
        <x:v>Invalid request rate; stability; match result if observable</x:v>
      </x:c>
      <x:c r="E7" s="182" t="str">
        <x:v>Nirmal</x:v>
      </x:c>
      <x:c r="F7" s="182" t="str">
        <x:v>Match action sets</x:v>
      </x:c>
    </x:row>
    <x:row r="8" ht="70" customHeight="1">
      <x:c r="A8" s="182" t="str">
        <x:v>3. Movement confidence</x:v>
      </x:c>
      <x:c r="B8" s="182" t="str">
        <x:v>Did our previous action actually move us?</x:v>
      </x:c>
      <x:c r="C8" s="182" t="str">
        <x:v>Compare before/after static cells; test failed movement and ambiguous corridors</x:v>
      </x:c>
      <x:c r="D8" s="182" t="str">
        <x:v>Pose-confidence flags; mismatches; examples</x:v>
      </x:c>
      <x:c r="E8" s="182" t="str">
        <x:v>Aiswarya</x:v>
      </x:c>
      <x:c r="F8" s="182" t="str">
        <x:v>No global mapping until credible</x:v>
      </x:c>
    </x:row>
    <x:row r="9" ht="70" customHeight="1">
      <x:c r="A9" s="182" t="str">
        <x:v>4. Exploration</x:v>
      </x:c>
      <x:c r="B9" s="182" t="str">
        <x:v>Which online policy finds useful areas without map prior?</x:v>
      </x:c>
      <x:c r="C9" s="182" t="str">
        <x:v>Safe local novelty / confirmed frontier memory; recovery on uncertainty</x:v>
      </x:c>
      <x:c r="D9" s="182" t="str">
        <x:v>Discovery proxy/coverage only if measured; dead-end stalls</x:v>
      </x:c>
      <x:c r="E9" s="182" t="str">
        <x:v>Both</x:v>
      </x:c>
      <x:c r="F9" s="182" t="str">
        <x:v>Memory robust first</x:v>
      </x:c>
    </x:row>
    <x:row r="10" ht="70" customHeight="1">
      <x:c r="A10" s="182" t="str">
        <x:v>5. Objective policy</x:v>
      </x:c>
      <x:c r="B10" s="182" t="str">
        <x:v>Can a guarded FSM coordinate flag objectives without assuming pickup success?</x:v>
      </x:c>
      <x:c r="C10" s="182" t="str">
        <x:v>FSM EXPLORE→APPROACH→PICKUP→RETURN→DELIVER; only verified transitions</x:v>
      </x:c>
      <x:c r="D10" s="182" t="str">
        <x:v>Transition validity; confirmed flag events; recovery decisions</x:v>
      </x:c>
      <x:c r="E10" s="182" t="str">
        <x:v>Aiswarya</x:v>
      </x:c>
      <x:c r="F10" s="182" t="str">
        <x:v>Flag rules confirmed</x:v>
      </x:c>
    </x:row>
    <x:row r="11" ht="70" customHeight="1">
      <x:c r="A11" s="182" t="str">
        <x:v>6. Opponent response</x:v>
      </x:c>
      <x:c r="B11" s="182" t="str">
        <x:v>How should a visible enemy alter choices?</x:v>
      </x:c>
      <x:c r="C11" s="182" t="str">
        <x:v>Dynamic occupancy/risk, safe retreat or pursuit only if supported by game mechanics</x:v>
      </x:c>
      <x:c r="D11" s="182" t="str">
        <x:v>Win rate, collisions, lost turns, objective progress</x:v>
      </x:c>
      <x:c r="E11" s="182" t="str">
        <x:v>Aiswarya</x:v>
      </x:c>
      <x:c r="F11" s="182" t="str">
        <x:v>No invented combat rules</x:v>
      </x:c>
    </x:row>
    <x:row r="12" ht="70" customHeight="1">
      <x:c r="A12" s="182" t="str">
        <x:v>7. Routing</x:v>
      </x:c>
      <x:c r="B12" s="182" t="str">
        <x:v>Does BFS help reach a known frontier/flag route? Is A* worth testing later?</x:v>
      </x:c>
      <x:c r="C12" s="182" t="str">
        <x:v>FBE selects target, BFS finds path; A* only after core is stable</x:v>
      </x:c>
      <x:c r="D12" s="182" t="str">
        <x:v>Successful routes, path lengths, latency, node expansions</x:v>
      </x:c>
      <x:c r="E12" s="182" t="str">
        <x:v>Both</x:v>
      </x:c>
      <x:c r="F12" s="182" t="str">
        <x:v>Known traversable graph</x:v>
      </x:c>
    </x:row>
    <x:row r="13" ht="70" customHeight="1">
      <x:c r="A13" s="182" t="str">
        <x:v>8. Generalization</x:v>
      </x:c>
      <x:c r="B13" s="182" t="str">
        <x:v>Does the policy beat different opponents on unseen maps?</x:v>
      </x:c>
      <x:c r="C13" s="182" t="str">
        <x:v>Diverse maps; held-out final tests; varying opponents; swap start sides</x:v>
      </x:c>
      <x:c r="D13" s="182" t="str">
        <x:v>Wins / total, objective outcomes, crash rate, uncertainties</x:v>
      </x:c>
      <x:c r="E13" s="182" t="str">
        <x:v>Nirmal</x:v>
      </x:c>
      <x:c r="F13" s="182" t="str">
        <x:v>No leakage of final map</x:v>
      </x:c>
    </x:row>
    <x:row r="14">
      <x:c r="A14" t="str">
        <x:v>8. FSM ablation</x:v>
      </x:c>
      <x:c r="B14" t="str">
        <x:v>Does FSM improve outcomes vs FBE+BFS with simple objective rules?</x:v>
      </x:c>
      <x:c r="C14" t="str">
        <x:v>Run safe / FBE / FBE+BFS / FBE+BFS+FSM under matched tests</x:v>
      </x:c>
      <x:c r="D14" t="str">
        <x:v>Transition errors; recovery success; win results if observable</x:v>
      </x:c>
      <x:c r="E14" t="str">
        <x:v>Nirmal</x:v>
      </x:c>
      <x:c r="F14" t="str">
        <x:v>Working validated variants only</x:v>
      </x:c>
    </x:row>
    <x:row r="15" ht="28" customHeight="1">
      <x:c r="A15" s="207" t="str">
        <x:v>Research question</x:v>
      </x:c>
      <x:c r="B15" s="207" t="str">
        <x:v>Hypothesis to test</x:v>
      </x:c>
      <x:c r="C15" s="207" t="str">
        <x:v>Measurement</x:v>
      </x:c>
    </x:row>
    <x:row r="16" ht="55" customHeight="1">
      <x:c r="A16" s="182" t="str">
        <x:v>RQ1: exploration effectiveness</x:v>
      </x:c>
      <x:c r="B16" s="182" t="str">
        <x:v>Novelty/frontier hybrid explores more reliably than safe random.</x:v>
      </x:c>
      <x:c r="C16" s="182" t="str">
        <x:v>Reachable discovery/goal discovery (only if measurable), stalls</x:v>
      </x:c>
    </x:row>
    <x:row r="17" ht="55" customHeight="1">
      <x:c r="A17" s="182" t="str">
        <x:v>RQ2: robust navigation</x:v>
      </x:c>
      <x:c r="B17" s="182" t="str">
        <x:v>Outcome-validated state lowers localization errors.</x:v>
      </x:c>
      <x:c r="C17" s="182" t="str">
        <x:v>Mismatch count, recovery rate in blocked/ambiguous moves</x:v>
      </x:c>
    </x:row>
    <x:row r="18" ht="55" customHeight="1">
      <x:c r="A18" s="182" t="str">
        <x:v>RQ3: competition performance</x:v>
      </x:c>
      <x:c r="B18" s="182" t="str">
        <x:v>Hybrid scores better than existing baselines on held-out maps.</x:v>
      </x:c>
      <x:c r="C18" s="182" t="str">
        <x:v>Match win fraction; report wins/draws/losses</x:v>
      </x:c>
    </x:row>
    <x:row r="19" ht="55" customHeight="1">
      <x:c r="A19" s="182" t="str">
        <x:v>RQ4: opponent handling</x:v>
      </x:c>
      <x:c r="B19" s="182" t="str">
        <x:v>Visible-enemy avoidance improves survival/progress under supported rules.</x:v>
      </x:c>
      <x:c r="C19" s="182" t="str">
        <x:v>Outcome differences across matched opponents</x:v>
      </x:c>
    </x:row>
    <x:row r="20" ht="55" customHeight="1">
      <x:c r="A20" s="182" t="str">
        <x:v>RQ5: routing tradeoff</x:v>
      </x:c>
      <x:c r="B20" s="182" t="str">
        <x:v>Known-grid BFS is enough for small maps; A* may help larger maps.</x:v>
      </x:c>
      <x:c r="C20" s="182" t="str">
        <x:v>Path length, node expansions, p95 decision time</x:v>
      </x:c>
    </x:row>
    <x:row r="22" ht="28" customHeight="1">
      <x:c r="A22" s="207" t="str">
        <x:v>Reference / resource</x:v>
      </x:c>
      <x:c r="B22" s="207" t="str">
        <x:v>URL</x:v>
      </x:c>
    </x:row>
    <x:row r="23" ht="28" customHeight="1">
      <x:c r="A23" t="str">
        <x:v>Yamauchi (1997): frontier exploration</x:v>
      </x:c>
      <x:c r="B23" t="str">
        <x:v>https://doi.org/10.1109/CIRA.1997.613851</x:v>
      </x:c>
    </x:row>
    <x:row r="24" ht="28" customHeight="1">
      <x:c r="A24" t="str">
        <x:v>Korf (1990): real-time heuristic search</x:v>
      </x:c>
      <x:c r="B24" t="str">
        <x:v>https://doi.org/10.1016/0004-3702(90)90054-4</x:v>
      </x:c>
    </x:row>
    <x:row r="25" ht="28" customHeight="1">
      <x:c r="A25" t="str">
        <x:v>Sturtevant (2012): grid benchmarks</x:v>
      </x:c>
      <x:c r="B25" t="str">
        <x:v>https://movingai.com/benchmarks/grids.html</x:v>
      </x:c>
    </x:row>
    <x:row r="26" ht="28" customHeight="1">
      <x:c r="A26" t="str">
        <x:v>DeepMind (2019): variable-map CTF multi-agent research</x:v>
      </x:c>
      <x:c r="B26" t="str">
        <x:v>https://deepmind.google/blog/capture-the-flag-the-emergence-of-complex-cooperative-agents/</x:v>
      </x:c>
    </x:row>
    <x:row r="28" ht="28" customHeight="1">
      <x:c r="A28" s="182" t="str">
        <x:v>Rule notes</x:v>
      </x:c>
      <x:c r="B28" s="182" t="str">
        <x:v>The Week 2 API contains 8 directions + pickup/put-down, but does NOT verify movement success, exact flag rules or opponent interactions.</x:v>
      </x:c>
      <x:c r="C28" s="182"/>
      <x:c r="D28" s="182"/>
      <x:c r="E28" s="182"/>
      <x:c r="F28" s="182"/>
    </x:row>
    <x:row r="29" ht="28" customHeight="1">
      <x:c r="A29" s="182"/>
      <x:c r="B29" s="182"/>
      <x:c r="C29" s="182"/>
      <x:c r="D29" s="182"/>
      <x:c r="E29" s="182"/>
      <x:c r="F29" s="182"/>
    </x:row>
    <x:row r="30" ht="28" customHeight="1">
      <x:c r="A30" s="182" t="str">
        <x:v>Design gate</x:v>
      </x:c>
      <x:c r="B30" s="182" t="str">
        <x:v>Do not treat lastAction as movement confirmation. Disable unverified localization-dependent behavior when observations are ambiguous.</x:v>
      </x:c>
      <x:c r="C30" s="182"/>
      <x:c r="D30" s="182"/>
      <x:c r="E30" s="182"/>
      <x:c r="F30" s="182"/>
    </x:row>
  </x:sheetData>
  <x:mergeCells>
    <x:mergeCell ref="A1:F1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37" hidden="0" customWidth="1"/>
    <x:col min="5" max="5" width="34" hidden="0" customWidth="1"/>
    <x:col min="6" max="6" width="29" hidden="0" customWidth="1"/>
  </x:cols>
  <x:sheetData>
    <x:row r="1" ht="35" customHeight="1">
      <x:c r="A1" s="210" t="str">
        <x:v>SOFTWARE PATH  |  FRONTIER + BFS + FSM</x:v>
      </x:c>
      <x:c r="B1" s="210"/>
      <x:c r="C1" s="210"/>
      <x:c r="D1" s="210"/>
      <x:c r="E1" s="210"/>
      <x:c r="F1" s="210"/>
    </x:row>
    <x:row r="3" ht="30" customHeight="1">
      <x:c r="A3" s="214" t="str">
        <x:v>Owner: Aiswarya  •  110 direct hours + 38 shared  •  implementation gates, not completed results</x:v>
      </x:c>
      <x:c r="B3" s="214"/>
      <x:c r="C3" s="214"/>
      <x:c r="D3" s="214"/>
      <x:c r="E3" s="214"/>
      <x:c r="F3" s="214"/>
    </x:row>
    <x:row r="5" ht="27" customHeight="1">
      <x:c r="A5" s="217" t="str">
        <x:v>Stage</x:v>
      </x:c>
      <x:c r="B5" s="217" t="str">
        <x:v>Window</x:v>
      </x:c>
      <x:c r="C5" s="217" t="str">
        <x:v>WPs</x:v>
      </x:c>
      <x:c r="D5" s="217" t="str">
        <x:v>Build / implement</x:v>
      </x:c>
      <x:c r="E5" s="217" t="str">
        <x:v>Acceptance gate</x:v>
      </x:c>
      <x:c r="F5" s="217" t="str">
        <x:v>Research hand-off</x:v>
      </x:c>
    </x:row>
    <x:row r="6" ht="49" customHeight="1">
      <x:c r="A6" s="218" t="str">
        <x:v>S0 Baseline</x:v>
      </x:c>
      <x:c r="B6" s="218" t="str">
        <x:v>Oct 2026</x:v>
      </x:c>
      <x:c r="C6" s="218" t="str">
        <x:v>Existing</x:v>
      </x:c>
      <x:c r="D6" s="218" t="str">
        <x:v>Preserve random &amp; safe DLL references</x:v>
      </x:c>
      <x:c r="E6" s="218" t="str">
        <x:v>Host loads; baselines unchanged</x:v>
      </x:c>
      <x:c r="F6" s="218" t="str">
        <x:v>Exact agent revision</x:v>
      </x:c>
    </x:row>
    <x:row r="7" ht="49" customHeight="1">
      <x:c r="A7" s="186" t="str">
        <x:v>S1 API rules</x:v>
      </x:c>
      <x:c r="B7" s="186" t="str">
        <x:v>Oct–Nov</x:v>
      </x:c>
      <x:c r="C7" s="186" t="str">
        <x:v>WP-01/02</x:v>
      </x:c>
      <x:c r="D7" s="186" t="str">
        <x:v>Movement outcome, diagonal and flag rules</x:v>
      </x:c>
      <x:c r="E7" s="186" t="str">
        <x:v>Only validated host assumptions used</x:v>
      </x:c>
      <x:c r="F7" s="186" t="str">
        <x:v>Rule/fixture log</x:v>
      </x:c>
    </x:row>
    <x:row r="8" ht="49" customHeight="1">
      <x:c r="A8" s="218" t="str">
        <x:v>S2 Safe fallback</x:v>
      </x:c>
      <x:c r="B8" s="218" t="str">
        <x:v>Nov</x:v>
      </x:c>
      <x:c r="C8" s="218" t="str">
        <x:v>WP-02/04</x:v>
      </x:c>
      <x:c r="D8" s="218" t="str">
        <x:v>Known-safe local action, novelty, wait</x:v>
      </x:c>
      <x:c r="E8" s="218" t="str">
        <x:v>No invalid blocked/unknown requests</x:v>
      </x:c>
      <x:c r="F8" s="218" t="str">
        <x:v>Baseline/fallback data</x:v>
      </x:c>
    </x:row>
    <x:row r="9" ht="49" customHeight="1">
      <x:c r="A9" s="186" t="str">
        <x:v>S3 Pose/map</x:v>
      </x:c>
      <x:c r="B9" s="186" t="str">
        <x:v>Nov–Dec</x:v>
      </x:c>
      <x:c r="C9" s="186" t="str">
        <x:v>WP-03</x:v>
      </x:c>
      <x:c r="D9" s="186" t="str">
        <x:v>Confidence-aware observation merge</x:v>
      </x:c>
      <x:c r="E9" s="186" t="str">
        <x:v>Contradictory state triggers recovery</x:v>
      </x:c>
      <x:c r="F9" s="186" t="str">
        <x:v>Pose feasibility evidence</x:v>
      </x:c>
    </x:row>
    <x:row r="10" ht="49" customHeight="1">
      <x:c r="A10" s="218" t="str">
        <x:v>S4 Frontiers</x:v>
      </x:c>
      <x:c r="B10" s="218" t="str">
        <x:v>Nov–Dec</x:v>
      </x:c>
      <x:c r="C10" s="218" t="str">
        <x:v>WP-04</x:v>
      </x:c>
      <x:c r="D10" s="218" t="str">
        <x:v>Reachable known-floor frontier targets</x:v>
      </x:c>
      <x:c r="E10" s="218" t="str">
        <x:v>No unreachable/unknown-as-floor routes</x:v>
      </x:c>
      <x:c r="F10" s="218" t="str">
        <x:v>Exploration fixture logs</x:v>
      </x:c>
    </x:row>
    <x:row r="11" ht="49" customHeight="1">
      <x:c r="A11" s="186" t="str">
        <x:v>S5 BFS</x:v>
      </x:c>
      <x:c r="B11" s="186" t="str">
        <x:v>Dec–Jan</x:v>
      </x:c>
      <x:c r="C11" s="186" t="str">
        <x:v>WP-05</x:v>
      </x:c>
      <x:c r="D11" s="186" t="str">
        <x:v>Known-route shortest-path first action</x:v>
      </x:c>
      <x:c r="E11" s="186" t="str">
        <x:v>Known-grid routes unit-tested</x:v>
      </x:c>
      <x:c r="F11" s="186" t="str">
        <x:v>Route length/latency logs</x:v>
      </x:c>
    </x:row>
    <x:row r="12" ht="49" customHeight="1">
      <x:c r="A12" s="218" t="str">
        <x:v>S6 FSM</x:v>
      </x:c>
      <x:c r="B12" s="218" t="str">
        <x:v>Dec–Jan</x:v>
      </x:c>
      <x:c r="C12" s="218" t="str">
        <x:v>WP-05</x:v>
      </x:c>
      <x:c r="D12" s="218" t="str">
        <x:v>Explore/approach/pickup/return/deliver/evade/recover</x:v>
      </x:c>
      <x:c r="E12" s="218" t="str">
        <x:v>Verified transition guards</x:v>
      </x:c>
      <x:c r="F12" s="218" t="str">
        <x:v>FSM fixture/ablation logs</x:v>
      </x:c>
    </x:row>
    <x:row r="13" ht="49" customHeight="1">
      <x:c r="A13" s="186" t="str">
        <x:v>S7 Integrate/QA</x:v>
      </x:c>
      <x:c r="B13" s="186" t="str">
        <x:v>Dec–Jan</x:v>
      </x:c>
      <x:c r="C13" s="186" t="str">
        <x:v>WP-12/14</x:v>
      </x:c>
      <x:c r="D13" s="186" t="str">
        <x:v>New hybrid DLL, regression and opponent tests</x:v>
      </x:c>
      <x:c r="E13" s="186" t="str">
        <x:v>Valid actions, resets, recovery</x:v>
      </x:c>
      <x:c r="F13" s="186" t="str">
        <x:v>Tournament-ready build</x:v>
      </x:c>
    </x:row>
    <x:row r="14" ht="49" customHeight="1">
      <x:c r="A14" s="218" t="str">
        <x:v>S8 A* optional</x:v>
      </x:c>
      <x:c r="B14" s="218" t="str">
        <x:v>If time</x:v>
      </x:c>
      <x:c r="C14" s="218" t="str">
        <x:v>Optional</x:v>
      </x:c>
      <x:c r="D14" s="218" t="str">
        <x:v>Compare trusted-map path search</x:v>
      </x:c>
      <x:c r="E14" s="218" t="str">
        <x:v>Does not delay core delivery</x:v>
      </x:c>
      <x:c r="F14" s="218" t="str">
        <x:v>Exploratory results if run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37" hidden="0" customWidth="1"/>
    <x:col min="5" max="5" width="34" hidden="0" customWidth="1"/>
    <x:col min="6" max="6" width="29" hidden="0" customWidth="1"/>
  </x:cols>
  <x:sheetData>
    <x:row r="1" ht="35" customHeight="1">
      <x:c r="A1" s="210" t="str">
        <x:v>RESEARCH PATH  |  CONTROLLED UNKNOWN-MAP EVALUATION</x:v>
      </x:c>
      <x:c r="B1" s="210"/>
      <x:c r="C1" s="210"/>
      <x:c r="D1" s="210"/>
      <x:c r="E1" s="210"/>
      <x:c r="F1" s="210"/>
    </x:row>
    <x:row r="3" ht="30" customHeight="1">
      <x:c r="A3" s="214" t="str">
        <x:v>Owner: Nirmal  •  114 direct hours + 38 shared  •  proposed protocol, not measured findings</x:v>
      </x:c>
      <x:c r="B3" s="214"/>
      <x:c r="C3" s="214"/>
      <x:c r="D3" s="214"/>
      <x:c r="E3" s="214"/>
      <x:c r="F3" s="214"/>
    </x:row>
    <x:row r="5" ht="27" customHeight="1">
      <x:c r="A5" s="217" t="str">
        <x:v>Stage</x:v>
      </x:c>
      <x:c r="B5" s="217" t="str">
        <x:v>Window</x:v>
      </x:c>
      <x:c r="C5" s="217" t="str">
        <x:v>WPs</x:v>
      </x:c>
      <x:c r="D5" s="217" t="str">
        <x:v>Research work</x:v>
      </x:c>
      <x:c r="E5" s="217" t="str">
        <x:v>Evidence / method</x:v>
      </x:c>
      <x:c r="F5" s="217" t="str">
        <x:v>Software dependency</x:v>
      </x:c>
    </x:row>
    <x:row r="6" ht="49" customHeight="1">
      <x:c r="A6" s="218" t="str">
        <x:v>R0 Literature</x:v>
      </x:c>
      <x:c r="B6" s="218" t="str">
        <x:v>Oct</x:v>
      </x:c>
      <x:c r="C6" s="218" t="str">
        <x:v>WP-06</x:v>
      </x:c>
      <x:c r="D6" s="218" t="str">
        <x:v>Frontiers, online search and benchmarks</x:v>
      </x:c>
      <x:c r="E6" s="218" t="str">
        <x:v>Dated reading scope, source vs hypothesis</x:v>
      </x:c>
      <x:c r="F6" s="218" t="str">
        <x:v>None</x:v>
      </x:c>
    </x:row>
    <x:row r="7" ht="49" customHeight="1">
      <x:c r="A7" s="186" t="str">
        <x:v>R1 Hypotheses</x:v>
      </x:c>
      <x:c r="B7" s="186" t="str">
        <x:v>Oct–Nov</x:v>
      </x:c>
      <x:c r="C7" s="186" t="str">
        <x:v>WP-06/07</x:v>
      </x:c>
      <x:c r="D7" s="186" t="str">
        <x:v>H1–H6; priority metrics; fair controls</x:v>
      </x:c>
      <x:c r="E7" s="186" t="str">
        <x:v>Predefined metrics, test plan</x:v>
      </x:c>
      <x:c r="F7" s="186" t="str">
        <x:v>Observe API limits</x:v>
      </x:c>
    </x:row>
    <x:row r="8" ht="49" customHeight="1">
      <x:c r="A8" s="218" t="str">
        <x:v>R2 Verify rules</x:v>
      </x:c>
      <x:c r="B8" s="218" t="str">
        <x:v>Nov</x:v>
      </x:c>
      <x:c r="C8" s="218" t="str">
        <x:v>WP-07/08</x:v>
      </x:c>
      <x:c r="D8" s="218" t="str">
        <x:v>Check observable wins/flags and move outcomes</x:v>
      </x:c>
      <x:c r="E8" s="218" t="str">
        <x:v>Confirmed event feasibility</x:v>
      </x:c>
      <x:c r="F8" s="218" t="str">
        <x:v>S1 API rules</x:v>
      </x:c>
    </x:row>
    <x:row r="9" ht="49" customHeight="1">
      <x:c r="A9" s="186" t="str">
        <x:v>R3 Baselines</x:v>
      </x:c>
      <x:c r="B9" s="186" t="str">
        <x:v>Nov–Dec</x:v>
      </x:c>
      <x:c r="C9" s="186" t="str">
        <x:v>WP-08</x:v>
      </x:c>
      <x:c r="D9" s="186" t="str">
        <x:v>Repeated random / safe / 4-way control</x:v>
      </x:c>
      <x:c r="E9" s="186" t="str">
        <x:v>Comparable logs; count failures</x:v>
      </x:c>
      <x:c r="F9" s="186" t="str">
        <x:v>S0–S2</x:v>
      </x:c>
    </x:row>
    <x:row r="10" ht="49" customHeight="1">
      <x:c r="A10" s="218" t="str">
        <x:v>R4 Unit tests</x:v>
      </x:c>
      <x:c r="B10" s="218" t="str">
        <x:v>Nov–Dec</x:v>
      </x:c>
      <x:c r="C10" s="218" t="str">
        <x:v>WP-08/09</x:v>
      </x:c>
      <x:c r="D10" s="218" t="str">
        <x:v>FBE, BFS and FSM synthetic fixtures</x:v>
      </x:c>
      <x:c r="E10" s="218" t="str">
        <x:v>Reachability, transitions, recovery</x:v>
      </x:c>
      <x:c r="F10" s="218" t="str">
        <x:v>S3–S6</x:v>
      </x:c>
    </x:row>
    <x:row r="11" ht="49" customHeight="1">
      <x:c r="A11" s="186" t="str">
        <x:v>R5 Ablations</x:v>
      </x:c>
      <x:c r="B11" s="186" t="str">
        <x:v>Dec–Jan</x:v>
      </x:c>
      <x:c r="C11" s="186" t="str">
        <x:v>WP-09</x:v>
      </x:c>
      <x:c r="D11" s="186" t="str">
        <x:v>Safe vs FBE vs FBE+BFS vs +FSM</x:v>
      </x:c>
      <x:c r="E11" s="186" t="str">
        <x:v>Identical maps/opponents where possible</x:v>
      </x:c>
      <x:c r="F11" s="186" t="str">
        <x:v>Validated variants</x:v>
      </x:c>
    </x:row>
    <x:row r="12" ht="49" customHeight="1">
      <x:c r="A12" s="218" t="str">
        <x:v>R6 Held-out maps</x:v>
      </x:c>
      <x:c r="B12" s="218" t="str">
        <x:v>Jan</x:v>
      </x:c>
      <x:c r="C12" s="218" t="str">
        <x:v>WP-09/10</x:v>
      </x:c>
      <x:c r="D12" s="218" t="str">
        <x:v>Unseen layouts and diverse opponents</x:v>
      </x:c>
      <x:c r="E12" s="218" t="str">
        <x:v>Win rate only if verifiable; robustness</x:v>
      </x:c>
      <x:c r="F12" s="218" t="str">
        <x:v>S7 integration</x:v>
      </x:c>
    </x:row>
    <x:row r="13" ht="49" customHeight="1">
      <x:c r="A13" s="186" t="str">
        <x:v>R7 Analyze/report</x:v>
      </x:c>
      <x:c r="B13" s="186" t="str">
        <x:v>Jan</x:v>
      </x:c>
      <x:c r="C13" s="186" t="str">
        <x:v>WP-10/13</x:v>
      </x:c>
      <x:c r="D13" s="186" t="str">
        <x:v>Uncertainty, limitations and conclusions</x:v>
      </x:c>
      <x:c r="E13" s="186" t="str">
        <x:v>Raw data, validity and figures</x:v>
      </x:c>
      <x:c r="F13" s="186" t="str">
        <x:v>All available tests</x:v>
      </x:c>
    </x:row>
    <x:row r="14" ht="49" customHeight="1">
      <x:c r="A14" s="218" t="str">
        <x:v>R8 Optional A*</x:v>
      </x:c>
      <x:c r="B14" s="218" t="str">
        <x:v>If time</x:v>
      </x:c>
      <x:c r="C14" s="218" t="str">
        <x:v>Optional</x:v>
      </x:c>
      <x:c r="D14" s="218" t="str">
        <x:v>BFS vs A* on same trusted grids</x:v>
      </x:c>
      <x:c r="E14" s="218" t="str">
        <x:v>Node expansion/latency</x:v>
      </x:c>
      <x:c r="F14" s="218" t="str">
        <x:v>S8 if implemented</x:v>
      </x:c>
    </x:row>
  </x:sheetData>
  <x:mergeCells>
    <x:mergeCell ref="A1:F1"/>
    <x:mergeCell ref="A3:F3"/>
  </x:mergeCells>
  <x:pageMargins left="0.7" right="0.7" top="0.75" bottom="0.75" header="0.3" footer="0.3"/>
</x:worksheet>
</file>